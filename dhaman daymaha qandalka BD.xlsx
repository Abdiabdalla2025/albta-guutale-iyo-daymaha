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7106" windowHeight="9755"/>
  </bookViews>
  <sheets>
    <sheet name="jabir sheekh maxmud" sheetId="3" r:id="rId1"/>
    <sheet name="ismahan" sheetId="5" r:id="rId2"/>
    <sheet name="liiban yare" sheetId="7" r:id="rId3"/>
    <sheet name="xabiib xashi" sheetId="11" r:id="rId4"/>
    <sheet name="hinda hssan" sheetId="12" r:id="rId5"/>
    <sheet name="jamal abdulle" sheetId="8" r:id="rId6"/>
    <sheet name="ahmed abdullahi" sheetId="9" r:id="rId7"/>
    <sheet name="maryan" sheetId="10" r:id="rId8"/>
    <sheet name="ceelka ciise qotax" sheetId="4" r:id="rId9"/>
    <sheet name="xuusen maxamed boot" sheetId="2" r:id="rId10"/>
    <sheet name="hassan ali farah" sheetId="13" r:id="rId11"/>
    <sheet name="abdirahman hassan (guutale)" sheetId="14" r:id="rId12"/>
    <sheet name="farsamo guryaha" sheetId="15" r:id="rId13"/>
    <sheet name="dahir dhagay" sheetId="16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9" i="9" l="1"/>
  <c r="D16" i="5" l="1"/>
  <c r="G2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E13" i="3"/>
  <c r="E10" i="5"/>
  <c r="E6" i="5"/>
  <c r="E7" i="5"/>
  <c r="E8" i="5"/>
  <c r="E9" i="5"/>
  <c r="E5" i="5"/>
  <c r="H29" i="11" l="1"/>
  <c r="E27" i="7" l="1"/>
  <c r="E25" i="7"/>
  <c r="D25" i="10"/>
  <c r="E22" i="10"/>
  <c r="E7" i="15"/>
  <c r="E10" i="15" s="1"/>
  <c r="E6" i="15"/>
  <c r="E4" i="15"/>
  <c r="E3" i="15"/>
  <c r="E2" i="15"/>
  <c r="E24" i="14"/>
  <c r="E22" i="14"/>
  <c r="E21" i="14"/>
  <c r="E20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2" i="14"/>
  <c r="E23" i="13" l="1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28" i="13" s="1"/>
  <c r="I3" i="13" s="1"/>
  <c r="E6" i="13"/>
  <c r="E5" i="13"/>
  <c r="E4" i="13"/>
  <c r="E3" i="13"/>
  <c r="E2" i="13"/>
  <c r="E93" i="9"/>
  <c r="N22" i="12" l="1"/>
  <c r="N19" i="12"/>
  <c r="N18" i="12"/>
  <c r="N17" i="12"/>
  <c r="N16" i="12"/>
  <c r="N15" i="12"/>
  <c r="N14" i="12"/>
  <c r="N13" i="12"/>
  <c r="N12" i="12"/>
  <c r="N11" i="12"/>
  <c r="N10" i="12"/>
  <c r="N9" i="12"/>
  <c r="N8" i="12"/>
  <c r="N7" i="12"/>
  <c r="N6" i="12"/>
  <c r="N5" i="12"/>
  <c r="N4" i="12"/>
  <c r="N3" i="12"/>
  <c r="N2" i="12"/>
  <c r="N24" i="12" s="1"/>
  <c r="P2" i="12" s="1"/>
  <c r="E14" i="12"/>
  <c r="E13" i="12"/>
  <c r="E12" i="12"/>
  <c r="E11" i="12"/>
  <c r="E10" i="12"/>
  <c r="E9" i="12"/>
  <c r="E8" i="12"/>
  <c r="E7" i="12"/>
  <c r="E6" i="12"/>
  <c r="E5" i="12"/>
  <c r="E15" i="12" s="1"/>
  <c r="G15" i="12" s="1"/>
  <c r="E4" i="12"/>
  <c r="E3" i="12"/>
  <c r="E2" i="12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I5" i="11"/>
  <c r="I4" i="11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23" i="10" s="1"/>
  <c r="E5" i="10"/>
  <c r="E4" i="10"/>
  <c r="E3" i="10"/>
  <c r="E2" i="10"/>
  <c r="E92" i="9"/>
  <c r="I106" i="9"/>
  <c r="I105" i="9"/>
  <c r="I104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H60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I27" i="11" l="1"/>
  <c r="E101" i="9"/>
  <c r="D103" i="9" s="1"/>
  <c r="D104" i="9" s="1"/>
  <c r="E7" i="8" l="1"/>
  <c r="E2" i="8"/>
  <c r="E3" i="8"/>
  <c r="E4" i="8"/>
  <c r="E5" i="8"/>
  <c r="E6" i="8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4" i="5"/>
  <c r="E3" i="5"/>
  <c r="E2" i="5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79" i="4" s="1"/>
  <c r="E12" i="3"/>
  <c r="E11" i="3"/>
  <c r="E10" i="3"/>
  <c r="E9" i="3"/>
  <c r="E8" i="3"/>
  <c r="E7" i="3"/>
  <c r="E6" i="3"/>
  <c r="E5" i="3"/>
  <c r="E4" i="3"/>
  <c r="E3" i="3"/>
  <c r="E2" i="3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1" i="2"/>
  <c r="E10" i="2"/>
  <c r="E9" i="2"/>
  <c r="E8" i="2"/>
  <c r="E7" i="2"/>
  <c r="E6" i="2"/>
  <c r="E5" i="2"/>
  <c r="E4" i="2"/>
  <c r="E3" i="2"/>
  <c r="E2" i="2"/>
  <c r="E35" i="2" s="1"/>
  <c r="A23" i="2" l="1"/>
  <c r="A43" i="9"/>
</calcChain>
</file>

<file path=xl/sharedStrings.xml><?xml version="1.0" encoding="utf-8"?>
<sst xmlns="http://schemas.openxmlformats.org/spreadsheetml/2006/main" count="591" uniqueCount="369">
  <si>
    <t>Column6</t>
  </si>
  <si>
    <t>Column7</t>
  </si>
  <si>
    <t>Column8</t>
  </si>
  <si>
    <t>data</t>
  </si>
  <si>
    <t>itemname</t>
  </si>
  <si>
    <t>qty</t>
  </si>
  <si>
    <t>price</t>
  </si>
  <si>
    <t>amount</t>
  </si>
  <si>
    <t>Tii 1x1/2</t>
  </si>
  <si>
    <t>Tii 1</t>
  </si>
  <si>
    <t>Taabo 1</t>
  </si>
  <si>
    <t>Ruducer 1x1/2x1</t>
  </si>
  <si>
    <t>Tubo 1</t>
  </si>
  <si>
    <t>Tubo  1x4/2</t>
  </si>
  <si>
    <t>TII 1</t>
  </si>
  <si>
    <t>MANAKOTO 1X1/2</t>
  </si>
  <si>
    <t>ubo1x1/2</t>
  </si>
  <si>
    <t>ruducer 1/2x1/2</t>
  </si>
  <si>
    <t>MANAKOTO UNPOLIS</t>
  </si>
  <si>
    <t>TABO BIIR MEESO</t>
  </si>
  <si>
    <t>Tii 3/4 cag</t>
  </si>
  <si>
    <t>Gomito  cag 3/4</t>
  </si>
  <si>
    <t xml:space="preserve"> 2/9/2025</t>
  </si>
  <si>
    <t>manakoto 1</t>
  </si>
  <si>
    <t>koolo weyn</t>
  </si>
  <si>
    <t>TII unameeso</t>
  </si>
  <si>
    <t>Ruduser</t>
  </si>
  <si>
    <t>sakafeero</t>
  </si>
  <si>
    <t>26/2/2025</t>
  </si>
  <si>
    <t>Tubo unameeso</t>
  </si>
  <si>
    <t>Tii unpolis</t>
  </si>
  <si>
    <t>Gomito  unameeso</t>
  </si>
  <si>
    <t>27/2/2025</t>
  </si>
  <si>
    <t>Gomito 1/2</t>
  </si>
  <si>
    <t>Adhabter 1/2</t>
  </si>
  <si>
    <t>TII cag 1</t>
  </si>
  <si>
    <t>Tabo 1</t>
  </si>
  <si>
    <t>Tubo 2</t>
  </si>
  <si>
    <t xml:space="preserve"> TII 1x1/2</t>
  </si>
  <si>
    <t>Tubo 1/2</t>
  </si>
  <si>
    <t>15/4/2025</t>
  </si>
  <si>
    <t>Tubo 1x1/2</t>
  </si>
  <si>
    <t xml:space="preserve"> Tabo 1x1/2</t>
  </si>
  <si>
    <t>15/2025</t>
  </si>
  <si>
    <t xml:space="preserve">Rubuneto ok </t>
  </si>
  <si>
    <t>Reduser unameeso</t>
  </si>
  <si>
    <t>Gomito 2</t>
  </si>
  <si>
    <t>gomito  unpolis</t>
  </si>
  <si>
    <t>Ruduser 11/2/1</t>
  </si>
  <si>
    <t>Tab garweny</t>
  </si>
  <si>
    <t>Badil af cade</t>
  </si>
  <si>
    <t>Tii 11/1</t>
  </si>
  <si>
    <t>Ruduser 11/1</t>
  </si>
  <si>
    <t xml:space="preserve"> tuubo haf 11/2</t>
  </si>
  <si>
    <t>tii 1</t>
  </si>
  <si>
    <t>Reduser un 1/3/4</t>
  </si>
  <si>
    <t>Ruduser 1</t>
  </si>
  <si>
    <t>Gomito1/2</t>
  </si>
  <si>
    <t>Tubo 3/4</t>
  </si>
  <si>
    <t>tii 11/2</t>
  </si>
  <si>
    <t>Ruduser 11/2</t>
  </si>
  <si>
    <t>Ruduser 3/4/1/2</t>
  </si>
  <si>
    <t>27/8/2025</t>
  </si>
  <si>
    <t>shamito</t>
  </si>
  <si>
    <t>musmar</t>
  </si>
  <si>
    <t>Tubo warab 20m</t>
  </si>
  <si>
    <t>27l8/2025</t>
  </si>
  <si>
    <t>bac 15X18</t>
  </si>
  <si>
    <t>30/8/2025</t>
  </si>
  <si>
    <t>Bushan32</t>
  </si>
  <si>
    <t>31/8/2025</t>
  </si>
  <si>
    <t>isteeli4</t>
  </si>
  <si>
    <t>Bac/w 26</t>
  </si>
  <si>
    <t>Tubo saydisho</t>
  </si>
  <si>
    <t>Towlo10</t>
  </si>
  <si>
    <t>Xarar</t>
  </si>
  <si>
    <t>M.MURALE</t>
  </si>
  <si>
    <t>isteeli5</t>
  </si>
  <si>
    <t>safiito sharaxley</t>
  </si>
  <si>
    <t>bacweyne sharxad</t>
  </si>
  <si>
    <t>bacyare adeeg</t>
  </si>
  <si>
    <t>ismalto galan 890</t>
  </si>
  <si>
    <t>ismalto galan 800</t>
  </si>
  <si>
    <t xml:space="preserve">macjun </t>
  </si>
  <si>
    <t>muralin galan 890</t>
  </si>
  <si>
    <t>gaas</t>
  </si>
  <si>
    <t>burash 4*4</t>
  </si>
  <si>
    <t>falag blue</t>
  </si>
  <si>
    <t>falag primray</t>
  </si>
  <si>
    <t>dabeeti</t>
  </si>
  <si>
    <t>burash Roole</t>
  </si>
  <si>
    <t>muralin 1kg 890</t>
  </si>
  <si>
    <t>makiinad buufis</t>
  </si>
  <si>
    <t>mutuleel dhul 150m</t>
  </si>
  <si>
    <t>mutuleel 30 musuql iyo jiigo</t>
  </si>
  <si>
    <t>mutuleel musqul dhul 5m</t>
  </si>
  <si>
    <t>mutuleel jajab 30 jwan</t>
  </si>
  <si>
    <t>Total</t>
  </si>
  <si>
    <t>total</t>
  </si>
  <si>
    <t>Xuseen maxamed boot</t>
  </si>
  <si>
    <t>jay</t>
  </si>
  <si>
    <t>tubo saydisho</t>
  </si>
  <si>
    <t>tubo dodisho</t>
  </si>
  <si>
    <t>Baleti baynaminta  12*12</t>
  </si>
  <si>
    <t>bulaketi</t>
  </si>
  <si>
    <t>fadhi turki</t>
  </si>
  <si>
    <t>sifoni turki</t>
  </si>
  <si>
    <t>tubo 1/2</t>
  </si>
  <si>
    <t>manakoto1/2</t>
  </si>
  <si>
    <t>gomito1/2</t>
  </si>
  <si>
    <t>faranti</t>
  </si>
  <si>
    <t>musamr n6</t>
  </si>
  <si>
    <t>musmar n5</t>
  </si>
  <si>
    <t xml:space="preserve">qadar cade </t>
  </si>
  <si>
    <t>fasexad iyo faranti</t>
  </si>
  <si>
    <t xml:space="preserve">fasexad </t>
  </si>
  <si>
    <t>musmar sabe  no 5</t>
  </si>
  <si>
    <t>musmar no 7</t>
  </si>
  <si>
    <t>musmar no5</t>
  </si>
  <si>
    <t>musmar no 6</t>
  </si>
  <si>
    <t>haradi</t>
  </si>
  <si>
    <t>22/9/2025</t>
  </si>
  <si>
    <t>safito  sharaxley</t>
  </si>
  <si>
    <t>isteli5</t>
  </si>
  <si>
    <t>caro</t>
  </si>
  <si>
    <t>Tubo 5</t>
  </si>
  <si>
    <t>Tubo10</t>
  </si>
  <si>
    <t>TOTAL</t>
  </si>
  <si>
    <t>baxashay</t>
  </si>
  <si>
    <t>Bushan34</t>
  </si>
  <si>
    <t>safido sharaxley</t>
  </si>
  <si>
    <t>shabaq burinti</t>
  </si>
  <si>
    <t>badeel af cade</t>
  </si>
  <si>
    <t>isbago</t>
  </si>
  <si>
    <t>prie</t>
  </si>
  <si>
    <t>Balkiin</t>
  </si>
  <si>
    <t>garweyn</t>
  </si>
  <si>
    <t>dabgarweyn</t>
  </si>
  <si>
    <t>golofis weyn</t>
  </si>
  <si>
    <t>saktuuro ff</t>
  </si>
  <si>
    <t xml:space="preserve"> total </t>
  </si>
  <si>
    <t xml:space="preserve">Burash Rulle  </t>
  </si>
  <si>
    <t>Burash Rulle 4*4</t>
  </si>
  <si>
    <t>Burash 3</t>
  </si>
  <si>
    <t xml:space="preserve">Tabeeti  </t>
  </si>
  <si>
    <t>dahabi</t>
  </si>
  <si>
    <t>shamito guriga digfer</t>
  </si>
  <si>
    <t>kiro babuur digfer</t>
  </si>
  <si>
    <t>Rinji jay falag guriga huriwa</t>
  </si>
  <si>
    <t>Rinji muralin guriga huriwa</t>
  </si>
  <si>
    <t>Rullo jay  guriga huriwa</t>
  </si>
  <si>
    <t>Rinji berimiri guriga huriwa</t>
  </si>
  <si>
    <t>kaarto fino guriga huriwa</t>
  </si>
  <si>
    <t>ul burash rulle</t>
  </si>
  <si>
    <t>kiro iyo xamal</t>
  </si>
  <si>
    <t>Bulaketi guriga digfer</t>
  </si>
  <si>
    <t>Tubo saydisho 16</t>
  </si>
  <si>
    <t>Towlo 20</t>
  </si>
  <si>
    <t>m.murale</t>
  </si>
  <si>
    <t>manakooto koronto</t>
  </si>
  <si>
    <t>gomito koronto</t>
  </si>
  <si>
    <t>sakel madow</t>
  </si>
  <si>
    <t>Towlo 15</t>
  </si>
  <si>
    <t>Rinji silig802  g.huriwa</t>
  </si>
  <si>
    <t>Rinji 890  jay g.huriwa</t>
  </si>
  <si>
    <t>xamal</t>
  </si>
  <si>
    <t>Tubo  saydisho 1mir iyo bar</t>
  </si>
  <si>
    <t>Tubo 5.        1 mitir iyo bar</t>
  </si>
  <si>
    <t xml:space="preserve">shamito </t>
  </si>
  <si>
    <t>Towlo 20 celis</t>
  </si>
  <si>
    <t>isteli no 4</t>
  </si>
  <si>
    <t>bacweyne 26</t>
  </si>
  <si>
    <t>bacweyne 28</t>
  </si>
  <si>
    <t>towlo 10</t>
  </si>
  <si>
    <t>safito sharaxley</t>
  </si>
  <si>
    <t>murayado iyo kala jante</t>
  </si>
  <si>
    <t>xamal iyo kiro</t>
  </si>
  <si>
    <t xml:space="preserve"> tubo   11     </t>
  </si>
  <si>
    <t xml:space="preserve"> tub 5   </t>
  </si>
  <si>
    <t xml:space="preserve">tabo bir  </t>
  </si>
  <si>
    <t xml:space="preserve">gomito  5   </t>
  </si>
  <si>
    <t xml:space="preserve">kolo  bifisi  halkilo  </t>
  </si>
  <si>
    <t xml:space="preserve">safuni  turki  </t>
  </si>
  <si>
    <t xml:space="preserve">salashinas  3/4 sanwa  </t>
  </si>
  <si>
    <t xml:space="preserve"> tiflo  </t>
  </si>
  <si>
    <t xml:space="preserve">Macjuun hud hud  </t>
  </si>
  <si>
    <t xml:space="preserve">Murliin 801   </t>
  </si>
  <si>
    <t xml:space="preserve">Karto 10xbo </t>
  </si>
  <si>
    <t xml:space="preserve"> Burash Ruulo </t>
  </si>
  <si>
    <t>Burush  4*4</t>
  </si>
  <si>
    <t xml:space="preserve">Burush 3 yar yar </t>
  </si>
  <si>
    <t>falag muralin 800</t>
  </si>
  <si>
    <t xml:space="preserve"> niwal  bir1/2 </t>
  </si>
  <si>
    <t xml:space="preserve"> rubuniito  oko  </t>
  </si>
  <si>
    <t xml:space="preserve"> manakoto  bir kuniwal 1/2 </t>
  </si>
  <si>
    <t xml:space="preserve">shataf iyo furihiisa </t>
  </si>
  <si>
    <t> tiflo  </t>
  </si>
  <si>
    <t>hanbiyo</t>
  </si>
  <si>
    <t>mutulel 142mitir</t>
  </si>
  <si>
    <t>falag muralin</t>
  </si>
  <si>
    <t xml:space="preserve"> TUBOPPR 3/4</t>
  </si>
  <si>
    <t>gomito ppr liisho</t>
  </si>
  <si>
    <t>Gomito ppr 3/4*1/2 female</t>
  </si>
  <si>
    <t>Aresto ppr 3/4</t>
  </si>
  <si>
    <t>Tee PPR 3/4 Liisho</t>
  </si>
  <si>
    <t>Tee3/4/1/2 femal</t>
  </si>
  <si>
    <t xml:space="preserve">Gomito 11 </t>
  </si>
  <si>
    <t>meeso kurbo 5</t>
  </si>
  <si>
    <t>Tee cag 11</t>
  </si>
  <si>
    <t>manakooto ppr 3/4 male</t>
  </si>
  <si>
    <t>manakoto ppr 3/4 female</t>
  </si>
  <si>
    <t>walwal jiif 3/4</t>
  </si>
  <si>
    <t>kalajent 3/4</t>
  </si>
  <si>
    <t>iskuval mar  3/4</t>
  </si>
  <si>
    <t>Gomito ppr 3/4 female</t>
  </si>
  <si>
    <t>fadhi  Tuunji</t>
  </si>
  <si>
    <t>waji dhaq lug caadi</t>
  </si>
  <si>
    <t>wijidhaq vip  elcon baleno</t>
  </si>
  <si>
    <t>murayad  bush</t>
  </si>
  <si>
    <t>fadhi vip elcon 112</t>
  </si>
  <si>
    <t>Dosh  dhaxe primo</t>
  </si>
  <si>
    <t>Barasha dosh primo</t>
  </si>
  <si>
    <t>xamali iyo kiro babur</t>
  </si>
  <si>
    <t>fiilo feero</t>
  </si>
  <si>
    <t>mutulel 10 mitir</t>
  </si>
  <si>
    <t>BAXASHAY</t>
  </si>
  <si>
    <t>HARADI</t>
  </si>
  <si>
    <t>albta so noqatay</t>
  </si>
  <si>
    <t>lacagta albta so noqatay</t>
  </si>
  <si>
    <t>bacweyne</t>
  </si>
  <si>
    <t>isteeli  no4</t>
  </si>
  <si>
    <t>Tubo madow</t>
  </si>
  <si>
    <t>name</t>
  </si>
  <si>
    <t xml:space="preserve">bacayare </t>
  </si>
  <si>
    <t>Tuuji</t>
  </si>
  <si>
    <t>Tubo koronto</t>
  </si>
  <si>
    <t>Safito sharaxley</t>
  </si>
  <si>
    <t>steli  n05</t>
  </si>
  <si>
    <t>isteli n0 4</t>
  </si>
  <si>
    <t>qalab koronto</t>
  </si>
  <si>
    <t>xamali iyo kiro</t>
  </si>
  <si>
    <t>Bulukeeti</t>
  </si>
  <si>
    <t>Bacyare34</t>
  </si>
  <si>
    <t xml:space="preserve">Bacwayne22.  </t>
  </si>
  <si>
    <t xml:space="preserve">Isteeli 5    </t>
  </si>
  <si>
    <t xml:space="preserve">Safiito sharaxlay </t>
  </si>
  <si>
    <t>Tubo  meesa</t>
  </si>
  <si>
    <t>Gomito  mees</t>
  </si>
  <si>
    <t>Rubuneto ok</t>
  </si>
  <si>
    <t>maryan</t>
  </si>
  <si>
    <t>Bakharka dhismaha Guutaale</t>
  </si>
  <si>
    <t>Tubo warab 1/2</t>
  </si>
  <si>
    <t>Tubo ppr 1/2</t>
  </si>
  <si>
    <t>sacad dhameystirsn dabaqeyn</t>
  </si>
  <si>
    <t>kolo yar 100</t>
  </si>
  <si>
    <t>Ruduser 2/1/2</t>
  </si>
  <si>
    <t>bac 15/18</t>
  </si>
  <si>
    <t>bir kintal</t>
  </si>
  <si>
    <t>Tabo 1/5</t>
  </si>
  <si>
    <t>Tii 2</t>
  </si>
  <si>
    <t xml:space="preserve">manso </t>
  </si>
  <si>
    <t>fiilo feero kiilo</t>
  </si>
  <si>
    <t>isteeli no 5</t>
  </si>
  <si>
    <t>musmar karton 6</t>
  </si>
  <si>
    <t>steli no 5</t>
  </si>
  <si>
    <t>Xabiib xashi</t>
  </si>
  <si>
    <t>faryamo</t>
  </si>
  <si>
    <t>paid</t>
  </si>
  <si>
    <t>bushan34</t>
  </si>
  <si>
    <t>bacweyne22</t>
  </si>
  <si>
    <t>isteel no 5</t>
  </si>
  <si>
    <t xml:space="preserve">xarar </t>
  </si>
  <si>
    <t>shabq burint</t>
  </si>
  <si>
    <t>Fasexad marey</t>
  </si>
  <si>
    <t>qadar cade</t>
  </si>
  <si>
    <t>qaar madow</t>
  </si>
  <si>
    <t>balance</t>
  </si>
  <si>
    <t>caro kawo</t>
  </si>
  <si>
    <t>fuusto musqul</t>
  </si>
  <si>
    <t>caro firhis</t>
  </si>
  <si>
    <t>shaqaale</t>
  </si>
  <si>
    <t>musqul qod</t>
  </si>
  <si>
    <t>albta guud</t>
  </si>
  <si>
    <t>albta qandalka loga qadat Hiinda hassan</t>
  </si>
  <si>
    <t>date</t>
  </si>
  <si>
    <t>iteam Name</t>
  </si>
  <si>
    <t>Qty</t>
  </si>
  <si>
    <t>balanta</t>
  </si>
  <si>
    <t>numberka</t>
  </si>
  <si>
    <t>Bacweyne22</t>
  </si>
  <si>
    <t>sacad biyo</t>
  </si>
  <si>
    <t>bulaket</t>
  </si>
  <si>
    <t>Baleeti</t>
  </si>
  <si>
    <t>macjuun</t>
  </si>
  <si>
    <t>flag redver806</t>
  </si>
  <si>
    <t>gaas cade</t>
  </si>
  <si>
    <t>tubo koronto</t>
  </si>
  <si>
    <t>sakatuuro FF WEYN</t>
  </si>
  <si>
    <t>Tubo meeso</t>
  </si>
  <si>
    <t xml:space="preserve">T Biir </t>
  </si>
  <si>
    <t>Niibal BIIR</t>
  </si>
  <si>
    <t>Koolo Tumin</t>
  </si>
  <si>
    <t>Tubo 10</t>
  </si>
  <si>
    <t>ntional 1kg selver</t>
  </si>
  <si>
    <t xml:space="preserve">TOTAL </t>
  </si>
  <si>
    <t>ismalto galon 890</t>
  </si>
  <si>
    <t>ismalto kiilo 890</t>
  </si>
  <si>
    <t>ismalto galon 757</t>
  </si>
  <si>
    <t>ismalto Ridver 757</t>
  </si>
  <si>
    <t>ismalto galon Ridver</t>
  </si>
  <si>
    <t>muralin</t>
  </si>
  <si>
    <t>Gas</t>
  </si>
  <si>
    <t>Tabeeti</t>
  </si>
  <si>
    <t>Burash yar no2</t>
  </si>
  <si>
    <t>Dahabi</t>
  </si>
  <si>
    <t>ismalto galan 752 ridver</t>
  </si>
  <si>
    <t>mitir Rule iyo ushis</t>
  </si>
  <si>
    <t>Isteli 4</t>
  </si>
  <si>
    <t xml:space="preserve"> musmar no:5 nuskilo</t>
  </si>
  <si>
    <t>musmar sabe rubac</t>
  </si>
  <si>
    <t xml:space="preserve"> xamali</t>
  </si>
  <si>
    <t>sacad sisma</t>
  </si>
  <si>
    <t>daba garweyn</t>
  </si>
  <si>
    <t>tubo 1/2 3 mitir</t>
  </si>
  <si>
    <t>Date</t>
  </si>
  <si>
    <t>item name</t>
  </si>
  <si>
    <t>QTY</t>
  </si>
  <si>
    <t>Amount</t>
  </si>
  <si>
    <t>Tuubo dodisho</t>
  </si>
  <si>
    <t>Shamito</t>
  </si>
  <si>
    <t>manadobaro</t>
  </si>
  <si>
    <t>bixin</t>
  </si>
  <si>
    <t>baxash</t>
  </si>
  <si>
    <t>xarar</t>
  </si>
  <si>
    <t>steeli no 5</t>
  </si>
  <si>
    <t>albab</t>
  </si>
  <si>
    <t>fasexad</t>
  </si>
  <si>
    <t>item nam</t>
  </si>
  <si>
    <t>sales price</t>
  </si>
  <si>
    <t>total amount</t>
  </si>
  <si>
    <t>cara kawo</t>
  </si>
  <si>
    <t>dhagax</t>
  </si>
  <si>
    <t>badeel</t>
  </si>
  <si>
    <t>sakeel</t>
  </si>
  <si>
    <t>garwany</t>
  </si>
  <si>
    <t>maaso</t>
  </si>
  <si>
    <t>tubo biyo</t>
  </si>
  <si>
    <t>saacad biyo sisma</t>
  </si>
  <si>
    <t xml:space="preserve">bacgaduud </t>
  </si>
  <si>
    <t>daab garwan</t>
  </si>
  <si>
    <t>20/12/25</t>
  </si>
  <si>
    <t>rudeser 3/4/1/2</t>
  </si>
  <si>
    <t>gomito 1/2</t>
  </si>
  <si>
    <t>tubo meso</t>
  </si>
  <si>
    <t>bir</t>
  </si>
  <si>
    <t>xamaal iyo gaari</t>
  </si>
  <si>
    <t>biyo galin</t>
  </si>
  <si>
    <t>waardiye</t>
  </si>
  <si>
    <t>isbaago</t>
  </si>
  <si>
    <t>21/12/25</t>
  </si>
  <si>
    <t>lowr dhagax</t>
  </si>
  <si>
    <t>gaari yar ciid</t>
  </si>
  <si>
    <t>jay gaari yar isisaar</t>
  </si>
  <si>
    <t>diyaarin alwaax</t>
  </si>
  <si>
    <t>dameer alwaxqaade</t>
  </si>
  <si>
    <t>kiro fuusto biyood</t>
  </si>
  <si>
    <t xml:space="preserve"> </t>
  </si>
  <si>
    <t>bixisay</t>
  </si>
  <si>
    <t>totalka  guud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</si>
</sst>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&quot;$&quot;#,##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Tahoma"/>
      <family val="2"/>
    </font>
    <font>
      <sz val="12"/>
      <color theme="1"/>
      <name val="Tahoma"/>
      <family val="2"/>
    </font>
    <font>
      <sz val="10"/>
      <color theme="1"/>
      <name val="Tahoma"/>
      <family val="2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Arial Black"/>
      <family val="2"/>
    </font>
    <font>
      <sz val="12"/>
      <color theme="1"/>
      <name val="Arial Narrow"/>
      <family val="2"/>
    </font>
    <font>
      <sz val="18"/>
      <color theme="2"/>
      <name val="Times New Roman"/>
      <family val="1"/>
    </font>
    <font>
      <sz val="18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CF49A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D13F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66FFCC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66"/>
        <bgColor theme="4" tint="0.79998168889431442"/>
      </patternFill>
    </fill>
    <fill>
      <patternFill patternType="solid">
        <fgColor rgb="FFFFFFCC"/>
        <bgColor theme="4" tint="0.79998168889431442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5">
    <xf numFmtId="0" fontId="0" fillId="0" borderId="0" xfId="0"/>
    <xf numFmtId="0" fontId="0" fillId="0" borderId="1" xfId="0" applyBorder="1"/>
    <xf numFmtId="14" fontId="0" fillId="0" borderId="0" xfId="0" applyNumberFormat="1"/>
    <xf numFmtId="164" fontId="0" fillId="0" borderId="0" xfId="0" applyNumberFormat="1"/>
    <xf numFmtId="0" fontId="2" fillId="3" borderId="1" xfId="0" applyNumberFormat="1" applyFont="1" applyFill="1" applyBorder="1" applyAlignment="1"/>
    <xf numFmtId="0" fontId="3" fillId="3" borderId="1" xfId="0" applyNumberFormat="1" applyFont="1" applyFill="1" applyBorder="1" applyAlignment="1"/>
    <xf numFmtId="0" fontId="4" fillId="3" borderId="1" xfId="0" applyNumberFormat="1" applyFont="1" applyFill="1" applyBorder="1" applyAlignment="1"/>
    <xf numFmtId="164" fontId="4" fillId="3" borderId="1" xfId="0" applyNumberFormat="1" applyFont="1" applyFill="1" applyBorder="1" applyAlignment="1"/>
    <xf numFmtId="14" fontId="2" fillId="3" borderId="1" xfId="0" applyNumberFormat="1" applyFont="1" applyFill="1" applyBorder="1"/>
    <xf numFmtId="164" fontId="0" fillId="3" borderId="1" xfId="0" applyNumberFormat="1" applyFill="1" applyBorder="1"/>
    <xf numFmtId="14" fontId="5" fillId="3" borderId="0" xfId="0" applyNumberFormat="1" applyFont="1" applyFill="1"/>
    <xf numFmtId="0" fontId="5" fillId="3" borderId="0" xfId="0" applyFont="1" applyFill="1"/>
    <xf numFmtId="164" fontId="5" fillId="3" borderId="0" xfId="0" applyNumberFormat="1" applyFont="1" applyFill="1"/>
    <xf numFmtId="164" fontId="0" fillId="4" borderId="1" xfId="0" applyNumberFormat="1" applyFill="1" applyBorder="1"/>
    <xf numFmtId="14" fontId="2" fillId="5" borderId="1" xfId="0" applyNumberFormat="1" applyFont="1" applyFill="1" applyBorder="1"/>
    <xf numFmtId="0" fontId="3" fillId="5" borderId="1" xfId="0" applyNumberFormat="1" applyFont="1" applyFill="1" applyBorder="1" applyAlignment="1"/>
    <xf numFmtId="0" fontId="4" fillId="5" borderId="1" xfId="0" applyNumberFormat="1" applyFont="1" applyFill="1" applyBorder="1" applyAlignment="1"/>
    <xf numFmtId="164" fontId="0" fillId="5" borderId="1" xfId="0" applyNumberFormat="1" applyFill="1" applyBorder="1"/>
    <xf numFmtId="164" fontId="7" fillId="5" borderId="1" xfId="0" applyNumberFormat="1" applyFont="1" applyFill="1" applyBorder="1"/>
    <xf numFmtId="14" fontId="0" fillId="6" borderId="4" xfId="0" applyNumberFormat="1" applyFont="1" applyFill="1" applyBorder="1"/>
    <xf numFmtId="0" fontId="0" fillId="6" borderId="5" xfId="0" applyNumberFormat="1" applyFont="1" applyFill="1" applyBorder="1"/>
    <xf numFmtId="164" fontId="0" fillId="6" borderId="5" xfId="0" applyNumberFormat="1" applyFont="1" applyFill="1" applyBorder="1"/>
    <xf numFmtId="164" fontId="0" fillId="6" borderId="6" xfId="0" applyNumberFormat="1" applyFont="1" applyFill="1" applyBorder="1"/>
    <xf numFmtId="14" fontId="0" fillId="3" borderId="4" xfId="2" applyNumberFormat="1" applyFont="1" applyFill="1" applyBorder="1"/>
    <xf numFmtId="9" fontId="0" fillId="3" borderId="5" xfId="2" applyNumberFormat="1" applyFont="1" applyFill="1" applyBorder="1"/>
    <xf numFmtId="0" fontId="0" fillId="3" borderId="5" xfId="0" applyNumberFormat="1" applyFont="1" applyFill="1" applyBorder="1"/>
    <xf numFmtId="164" fontId="0" fillId="3" borderId="5" xfId="0" applyNumberFormat="1" applyFont="1" applyFill="1" applyBorder="1"/>
    <xf numFmtId="164" fontId="0" fillId="3" borderId="6" xfId="0" applyNumberFormat="1" applyFont="1" applyFill="1" applyBorder="1"/>
    <xf numFmtId="14" fontId="0" fillId="6" borderId="4" xfId="2" applyNumberFormat="1" applyFont="1" applyFill="1" applyBorder="1"/>
    <xf numFmtId="9" fontId="0" fillId="6" borderId="5" xfId="2" applyNumberFormat="1" applyFont="1" applyFill="1" applyBorder="1"/>
    <xf numFmtId="14" fontId="0" fillId="3" borderId="4" xfId="0" applyNumberFormat="1" applyFont="1" applyFill="1" applyBorder="1"/>
    <xf numFmtId="14" fontId="0" fillId="3" borderId="0" xfId="0" applyNumberFormat="1" applyFill="1"/>
    <xf numFmtId="0" fontId="0" fillId="6" borderId="0" xfId="0" applyNumberFormat="1" applyFont="1" applyFill="1" applyBorder="1"/>
    <xf numFmtId="164" fontId="0" fillId="6" borderId="0" xfId="0" applyNumberFormat="1" applyFont="1" applyFill="1" applyBorder="1"/>
    <xf numFmtId="164" fontId="0" fillId="3" borderId="0" xfId="0" applyNumberFormat="1" applyFill="1"/>
    <xf numFmtId="0" fontId="0" fillId="3" borderId="0" xfId="0" applyNumberFormat="1" applyFont="1" applyFill="1" applyBorder="1"/>
    <xf numFmtId="164" fontId="0" fillId="3" borderId="0" xfId="0" applyNumberFormat="1" applyFont="1" applyFill="1" applyBorder="1"/>
    <xf numFmtId="0" fontId="0" fillId="3" borderId="0" xfId="0" applyFill="1"/>
    <xf numFmtId="0" fontId="0" fillId="0" borderId="1" xfId="0" applyFill="1" applyBorder="1"/>
    <xf numFmtId="164" fontId="0" fillId="0" borderId="1" xfId="0" applyNumberFormat="1" applyFill="1" applyBorder="1"/>
    <xf numFmtId="14" fontId="0" fillId="0" borderId="1" xfId="0" applyNumberFormat="1" applyFill="1" applyBorder="1"/>
    <xf numFmtId="14" fontId="0" fillId="3" borderId="1" xfId="0" applyNumberForma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14" fontId="7" fillId="0" borderId="0" xfId="0" applyNumberFormat="1" applyFont="1"/>
    <xf numFmtId="0" fontId="7" fillId="0" borderId="0" xfId="0" applyFont="1"/>
    <xf numFmtId="0" fontId="7" fillId="0" borderId="0" xfId="1" applyNumberFormat="1" applyFont="1"/>
    <xf numFmtId="44" fontId="7" fillId="4" borderId="0" xfId="1" applyFont="1" applyFill="1"/>
    <xf numFmtId="0" fontId="0" fillId="0" borderId="0" xfId="1" applyNumberFormat="1" applyFont="1"/>
    <xf numFmtId="44" fontId="0" fillId="4" borderId="0" xfId="1" applyFont="1" applyFill="1"/>
    <xf numFmtId="44" fontId="0" fillId="0" borderId="0" xfId="1" applyFont="1"/>
    <xf numFmtId="0" fontId="6" fillId="0" borderId="0" xfId="0" applyFont="1"/>
    <xf numFmtId="0" fontId="4" fillId="0" borderId="0" xfId="0" applyFont="1"/>
    <xf numFmtId="0" fontId="12" fillId="9" borderId="0" xfId="0" applyFont="1" applyFill="1"/>
    <xf numFmtId="164" fontId="12" fillId="9" borderId="0" xfId="0" applyNumberFormat="1" applyFont="1" applyFill="1"/>
    <xf numFmtId="164" fontId="12" fillId="0" borderId="0" xfId="0" applyNumberFormat="1" applyFont="1"/>
    <xf numFmtId="14" fontId="13" fillId="4" borderId="1" xfId="0" applyNumberFormat="1" applyFont="1" applyFill="1" applyBorder="1"/>
    <xf numFmtId="0" fontId="12" fillId="4" borderId="1" xfId="0" applyFont="1" applyFill="1" applyBorder="1"/>
    <xf numFmtId="0" fontId="12" fillId="10" borderId="1" xfId="0" applyFont="1" applyFill="1" applyBorder="1"/>
    <xf numFmtId="164" fontId="12" fillId="10" borderId="1" xfId="0" applyNumberFormat="1" applyFont="1" applyFill="1" applyBorder="1"/>
    <xf numFmtId="14" fontId="12" fillId="3" borderId="1" xfId="0" applyNumberFormat="1" applyFont="1" applyFill="1" applyBorder="1"/>
    <xf numFmtId="0" fontId="12" fillId="3" borderId="1" xfId="0" applyFont="1" applyFill="1" applyBorder="1"/>
    <xf numFmtId="164" fontId="12" fillId="3" borderId="1" xfId="1" applyNumberFormat="1" applyFont="1" applyFill="1" applyBorder="1"/>
    <xf numFmtId="164" fontId="12" fillId="4" borderId="1" xfId="0" applyNumberFormat="1" applyFont="1" applyFill="1" applyBorder="1"/>
    <xf numFmtId="164" fontId="12" fillId="3" borderId="0" xfId="0" applyNumberFormat="1" applyFont="1" applyFill="1"/>
    <xf numFmtId="164" fontId="11" fillId="3" borderId="1" xfId="0" applyNumberFormat="1" applyFont="1" applyFill="1" applyBorder="1"/>
    <xf numFmtId="0" fontId="10" fillId="3" borderId="1" xfId="0" applyFont="1" applyFill="1" applyBorder="1"/>
    <xf numFmtId="164" fontId="10" fillId="3" borderId="1" xfId="0" applyNumberFormat="1" applyFont="1" applyFill="1" applyBorder="1"/>
    <xf numFmtId="164" fontId="12" fillId="0" borderId="1" xfId="0" applyNumberFormat="1" applyFont="1" applyBorder="1"/>
    <xf numFmtId="0" fontId="12" fillId="11" borderId="1" xfId="0" applyFont="1" applyFill="1" applyBorder="1"/>
    <xf numFmtId="164" fontId="12" fillId="11" borderId="1" xfId="0" applyNumberFormat="1" applyFont="1" applyFill="1" applyBorder="1"/>
    <xf numFmtId="0" fontId="12" fillId="0" borderId="1" xfId="0" applyFont="1" applyBorder="1"/>
    <xf numFmtId="0" fontId="12" fillId="9" borderId="1" xfId="0" applyFont="1" applyFill="1" applyBorder="1"/>
    <xf numFmtId="164" fontId="12" fillId="9" borderId="1" xfId="0" applyNumberFormat="1" applyFont="1" applyFill="1" applyBorder="1"/>
    <xf numFmtId="0" fontId="12" fillId="12" borderId="1" xfId="0" applyFont="1" applyFill="1" applyBorder="1"/>
    <xf numFmtId="164" fontId="12" fillId="12" borderId="1" xfId="0" applyNumberFormat="1" applyFont="1" applyFill="1" applyBorder="1"/>
    <xf numFmtId="164" fontId="12" fillId="3" borderId="1" xfId="0" applyNumberFormat="1" applyFont="1" applyFill="1" applyBorder="1"/>
    <xf numFmtId="164" fontId="12" fillId="12" borderId="0" xfId="0" applyNumberFormat="1" applyFont="1" applyFill="1"/>
    <xf numFmtId="164" fontId="12" fillId="3" borderId="8" xfId="0" applyNumberFormat="1" applyFont="1" applyFill="1" applyBorder="1"/>
    <xf numFmtId="14" fontId="13" fillId="3" borderId="1" xfId="0" applyNumberFormat="1" applyFont="1" applyFill="1" applyBorder="1"/>
    <xf numFmtId="0" fontId="12" fillId="3" borderId="1" xfId="1" applyNumberFormat="1" applyFont="1" applyFill="1" applyBorder="1"/>
    <xf numFmtId="164" fontId="12" fillId="3" borderId="9" xfId="0" applyNumberFormat="1" applyFont="1" applyFill="1" applyBorder="1"/>
    <xf numFmtId="164" fontId="12" fillId="3" borderId="10" xfId="0" applyNumberFormat="1" applyFont="1" applyFill="1" applyBorder="1"/>
    <xf numFmtId="14" fontId="13" fillId="13" borderId="1" xfId="0" applyNumberFormat="1" applyFont="1" applyFill="1" applyBorder="1"/>
    <xf numFmtId="0" fontId="12" fillId="13" borderId="1" xfId="0" applyFont="1" applyFill="1" applyBorder="1"/>
    <xf numFmtId="0" fontId="12" fillId="13" borderId="1" xfId="1" applyNumberFormat="1" applyFont="1" applyFill="1" applyBorder="1"/>
    <xf numFmtId="164" fontId="12" fillId="13" borderId="1" xfId="1" applyNumberFormat="1" applyFont="1" applyFill="1" applyBorder="1"/>
    <xf numFmtId="44" fontId="12" fillId="9" borderId="1" xfId="1" applyFont="1" applyFill="1" applyBorder="1"/>
    <xf numFmtId="164" fontId="12" fillId="9" borderId="1" xfId="1" applyNumberFormat="1" applyFont="1" applyFill="1" applyBorder="1"/>
    <xf numFmtId="164" fontId="12" fillId="3" borderId="7" xfId="0" applyNumberFormat="1" applyFont="1" applyFill="1" applyBorder="1" applyAlignment="1"/>
    <xf numFmtId="44" fontId="12" fillId="14" borderId="1" xfId="1" applyFont="1" applyFill="1" applyBorder="1"/>
    <xf numFmtId="164" fontId="12" fillId="14" borderId="1" xfId="1" applyNumberFormat="1" applyFont="1" applyFill="1" applyBorder="1"/>
    <xf numFmtId="164" fontId="0" fillId="13" borderId="1" xfId="0" applyNumberFormat="1" applyFill="1" applyBorder="1"/>
    <xf numFmtId="0" fontId="0" fillId="4" borderId="1" xfId="0" applyFill="1" applyBorder="1"/>
    <xf numFmtId="164" fontId="0" fillId="13" borderId="0" xfId="0" applyNumberFormat="1" applyFill="1"/>
    <xf numFmtId="0" fontId="14" fillId="9" borderId="1" xfId="0" applyFont="1" applyFill="1" applyBorder="1"/>
    <xf numFmtId="0" fontId="14" fillId="9" borderId="1" xfId="0" applyNumberFormat="1" applyFont="1" applyFill="1" applyBorder="1"/>
    <xf numFmtId="164" fontId="14" fillId="9" borderId="1" xfId="0" applyNumberFormat="1" applyFont="1" applyFill="1" applyBorder="1"/>
    <xf numFmtId="14" fontId="0" fillId="12" borderId="1" xfId="0" applyNumberFormat="1" applyFill="1" applyBorder="1"/>
    <xf numFmtId="0" fontId="0" fillId="12" borderId="1" xfId="0" applyFill="1" applyBorder="1"/>
    <xf numFmtId="0" fontId="0" fillId="12" borderId="1" xfId="0" applyNumberFormat="1" applyFill="1" applyBorder="1"/>
    <xf numFmtId="14" fontId="15" fillId="3" borderId="1" xfId="0" applyNumberFormat="1" applyFont="1" applyFill="1" applyBorder="1"/>
    <xf numFmtId="0" fontId="6" fillId="3" borderId="1" xfId="0" applyFont="1" applyFill="1" applyBorder="1"/>
    <xf numFmtId="0" fontId="15" fillId="3" borderId="1" xfId="0" applyNumberFormat="1" applyFont="1" applyFill="1" applyBorder="1"/>
    <xf numFmtId="164" fontId="15" fillId="3" borderId="1" xfId="0" applyNumberFormat="1" applyFont="1" applyFill="1" applyBorder="1"/>
    <xf numFmtId="164" fontId="6" fillId="3" borderId="1" xfId="0" applyNumberFormat="1" applyFont="1" applyFill="1" applyBorder="1"/>
    <xf numFmtId="14" fontId="6" fillId="3" borderId="1" xfId="0" applyNumberFormat="1" applyFont="1" applyFill="1" applyBorder="1"/>
    <xf numFmtId="0" fontId="6" fillId="3" borderId="1" xfId="0" applyNumberFormat="1" applyFont="1" applyFill="1" applyBorder="1"/>
    <xf numFmtId="14" fontId="6" fillId="0" borderId="1" xfId="0" applyNumberFormat="1" applyFont="1" applyBorder="1"/>
    <xf numFmtId="0" fontId="6" fillId="0" borderId="1" xfId="0" applyFont="1" applyBorder="1"/>
    <xf numFmtId="0" fontId="6" fillId="0" borderId="1" xfId="0" applyNumberFormat="1" applyFont="1" applyBorder="1"/>
    <xf numFmtId="164" fontId="6" fillId="0" borderId="1" xfId="0" applyNumberFormat="1" applyFont="1" applyBorder="1"/>
    <xf numFmtId="0" fontId="10" fillId="11" borderId="1" xfId="0" applyFont="1" applyFill="1" applyBorder="1"/>
    <xf numFmtId="0" fontId="10" fillId="11" borderId="1" xfId="0" applyNumberFormat="1" applyFont="1" applyFill="1" applyBorder="1"/>
    <xf numFmtId="164" fontId="10" fillId="11" borderId="1" xfId="0" applyNumberFormat="1" applyFont="1" applyFill="1" applyBorder="1"/>
    <xf numFmtId="0" fontId="6" fillId="11" borderId="1" xfId="0" applyFont="1" applyFill="1" applyBorder="1"/>
    <xf numFmtId="14" fontId="4" fillId="4" borderId="1" xfId="0" applyNumberFormat="1" applyFont="1" applyFill="1" applyBorder="1"/>
    <xf numFmtId="0" fontId="4" fillId="4" borderId="1" xfId="0" applyFont="1" applyFill="1" applyBorder="1"/>
    <xf numFmtId="0" fontId="4" fillId="12" borderId="1" xfId="0" applyFont="1" applyFill="1" applyBorder="1"/>
    <xf numFmtId="164" fontId="4" fillId="12" borderId="1" xfId="0" applyNumberFormat="1" applyFont="1" applyFill="1" applyBorder="1"/>
    <xf numFmtId="0" fontId="10" fillId="11" borderId="0" xfId="0" applyFont="1" applyFill="1"/>
    <xf numFmtId="14" fontId="0" fillId="4" borderId="1" xfId="0" applyNumberFormat="1" applyFill="1" applyBorder="1"/>
    <xf numFmtId="164" fontId="0" fillId="12" borderId="1" xfId="0" applyNumberFormat="1" applyFill="1" applyBorder="1"/>
    <xf numFmtId="0" fontId="0" fillId="12" borderId="10" xfId="0" applyFill="1" applyBorder="1"/>
    <xf numFmtId="0" fontId="8" fillId="13" borderId="1" xfId="0" applyFont="1" applyFill="1" applyBorder="1"/>
    <xf numFmtId="164" fontId="8" fillId="13" borderId="1" xfId="0" applyNumberFormat="1" applyFont="1" applyFill="1" applyBorder="1"/>
    <xf numFmtId="0" fontId="0" fillId="11" borderId="0" xfId="0" applyFill="1"/>
    <xf numFmtId="164" fontId="0" fillId="11" borderId="0" xfId="0" applyNumberFormat="1" applyFill="1"/>
    <xf numFmtId="0" fontId="9" fillId="7" borderId="0" xfId="0" applyFont="1" applyFill="1"/>
    <xf numFmtId="164" fontId="9" fillId="7" borderId="0" xfId="0" applyNumberFormat="1" applyFont="1" applyFill="1"/>
    <xf numFmtId="44" fontId="9" fillId="7" borderId="0" xfId="1" applyFont="1" applyFill="1"/>
    <xf numFmtId="14" fontId="6" fillId="0" borderId="0" xfId="0" applyNumberFormat="1" applyFont="1"/>
    <xf numFmtId="164" fontId="6" fillId="0" borderId="0" xfId="0" applyNumberFormat="1" applyFont="1"/>
    <xf numFmtId="164" fontId="0" fillId="0" borderId="0" xfId="1" applyNumberFormat="1" applyFont="1"/>
    <xf numFmtId="164" fontId="0" fillId="4" borderId="0" xfId="0" applyNumberFormat="1" applyFill="1"/>
    <xf numFmtId="164" fontId="0" fillId="4" borderId="0" xfId="1" applyNumberFormat="1" applyFont="1" applyFill="1"/>
    <xf numFmtId="164" fontId="0" fillId="9" borderId="0" xfId="0" applyNumberFormat="1" applyFill="1"/>
    <xf numFmtId="0" fontId="6" fillId="2" borderId="0" xfId="0" applyFont="1" applyFill="1"/>
    <xf numFmtId="164" fontId="6" fillId="2" borderId="0" xfId="0" applyNumberFormat="1" applyFont="1" applyFill="1"/>
    <xf numFmtId="0" fontId="6" fillId="3" borderId="0" xfId="0" applyFont="1" applyFill="1"/>
    <xf numFmtId="164" fontId="0" fillId="2" borderId="0" xfId="0" applyNumberFormat="1" applyFill="1"/>
    <xf numFmtId="0" fontId="16" fillId="15" borderId="1" xfId="0" applyFont="1" applyFill="1" applyBorder="1"/>
    <xf numFmtId="164" fontId="16" fillId="15" borderId="1" xfId="0" applyNumberFormat="1" applyFont="1" applyFill="1" applyBorder="1"/>
    <xf numFmtId="0" fontId="7" fillId="7" borderId="1" xfId="0" applyFont="1" applyFill="1" applyBorder="1"/>
    <xf numFmtId="164" fontId="0" fillId="0" borderId="1" xfId="0" applyNumberFormat="1" applyBorder="1"/>
    <xf numFmtId="14" fontId="17" fillId="16" borderId="1" xfId="0" applyNumberFormat="1" applyFont="1" applyFill="1" applyBorder="1"/>
    <xf numFmtId="0" fontId="17" fillId="12" borderId="1" xfId="0" applyFont="1" applyFill="1" applyBorder="1"/>
    <xf numFmtId="0" fontId="17" fillId="17" borderId="1" xfId="0" applyFont="1" applyFill="1" applyBorder="1"/>
    <xf numFmtId="164" fontId="17" fillId="4" borderId="1" xfId="0" applyNumberFormat="1" applyFont="1" applyFill="1" applyBorder="1"/>
    <xf numFmtId="164" fontId="0" fillId="18" borderId="1" xfId="0" applyNumberFormat="1" applyFill="1" applyBorder="1"/>
    <xf numFmtId="0" fontId="0" fillId="18" borderId="0" xfId="0" applyFill="1"/>
    <xf numFmtId="164" fontId="7" fillId="0" borderId="0" xfId="0" applyNumberFormat="1" applyFont="1"/>
    <xf numFmtId="14" fontId="0" fillId="16" borderId="1" xfId="0" applyNumberFormat="1" applyFill="1" applyBorder="1"/>
    <xf numFmtId="0" fontId="0" fillId="19" borderId="1" xfId="0" applyFill="1" applyBorder="1"/>
    <xf numFmtId="0" fontId="0" fillId="20" borderId="1" xfId="0" applyFill="1" applyBorder="1"/>
    <xf numFmtId="164" fontId="0" fillId="16" borderId="1" xfId="0" applyNumberFormat="1" applyFill="1" applyBorder="1"/>
    <xf numFmtId="0" fontId="0" fillId="17" borderId="1" xfId="0" applyFill="1" applyBorder="1"/>
    <xf numFmtId="0" fontId="0" fillId="19" borderId="2" xfId="0" applyFill="1" applyBorder="1"/>
    <xf numFmtId="0" fontId="0" fillId="20" borderId="0" xfId="0" applyFill="1"/>
    <xf numFmtId="164" fontId="0" fillId="20" borderId="0" xfId="0" applyNumberFormat="1" applyFill="1"/>
    <xf numFmtId="0" fontId="18" fillId="21" borderId="12" xfId="0" applyFont="1" applyFill="1" applyBorder="1"/>
    <xf numFmtId="0" fontId="18" fillId="21" borderId="13" xfId="0" applyFont="1" applyFill="1" applyBorder="1"/>
    <xf numFmtId="164" fontId="18" fillId="21" borderId="13" xfId="0" applyNumberFormat="1" applyFont="1" applyFill="1" applyBorder="1"/>
    <xf numFmtId="0" fontId="18" fillId="21" borderId="14" xfId="0" applyFont="1" applyFill="1" applyBorder="1"/>
    <xf numFmtId="14" fontId="19" fillId="4" borderId="1" xfId="0" applyNumberFormat="1" applyFont="1" applyFill="1" applyBorder="1"/>
    <xf numFmtId="0" fontId="19" fillId="4" borderId="1" xfId="0" applyFont="1" applyFill="1" applyBorder="1"/>
    <xf numFmtId="0" fontId="19" fillId="20" borderId="1" xfId="0" applyFont="1" applyFill="1" applyBorder="1"/>
    <xf numFmtId="164" fontId="19" fillId="20" borderId="1" xfId="0" applyNumberFormat="1" applyFont="1" applyFill="1" applyBorder="1"/>
    <xf numFmtId="164" fontId="19" fillId="22" borderId="1" xfId="0" applyNumberFormat="1" applyFont="1" applyFill="1" applyBorder="1"/>
    <xf numFmtId="0" fontId="19" fillId="0" borderId="1" xfId="0" applyFont="1" applyBorder="1"/>
    <xf numFmtId="14" fontId="19" fillId="23" borderId="1" xfId="0" applyNumberFormat="1" applyFont="1" applyFill="1" applyBorder="1"/>
    <xf numFmtId="0" fontId="19" fillId="23" borderId="1" xfId="0" applyFont="1" applyFill="1" applyBorder="1"/>
    <xf numFmtId="0" fontId="19" fillId="24" borderId="1" xfId="0" applyFont="1" applyFill="1" applyBorder="1"/>
    <xf numFmtId="164" fontId="19" fillId="24" borderId="1" xfId="0" applyNumberFormat="1" applyFont="1" applyFill="1" applyBorder="1"/>
    <xf numFmtId="0" fontId="19" fillId="25" borderId="1" xfId="0" applyFont="1" applyFill="1" applyBorder="1"/>
    <xf numFmtId="14" fontId="19" fillId="26" borderId="1" xfId="0" applyNumberFormat="1" applyFont="1" applyFill="1" applyBorder="1"/>
    <xf numFmtId="0" fontId="19" fillId="26" borderId="1" xfId="0" applyFont="1" applyFill="1" applyBorder="1"/>
    <xf numFmtId="164" fontId="19" fillId="27" borderId="1" xfId="0" applyNumberFormat="1" applyFont="1" applyFill="1" applyBorder="1"/>
    <xf numFmtId="14" fontId="19" fillId="16" borderId="1" xfId="0" applyNumberFormat="1" applyFont="1" applyFill="1" applyBorder="1"/>
    <xf numFmtId="0" fontId="19" fillId="16" borderId="1" xfId="0" applyFont="1" applyFill="1" applyBorder="1"/>
    <xf numFmtId="14" fontId="19" fillId="0" borderId="0" xfId="0" applyNumberFormat="1" applyFont="1"/>
    <xf numFmtId="0" fontId="19" fillId="0" borderId="0" xfId="0" applyFont="1"/>
    <xf numFmtId="164" fontId="19" fillId="0" borderId="0" xfId="0" applyNumberFormat="1" applyFont="1"/>
    <xf numFmtId="0" fontId="20" fillId="8" borderId="0" xfId="0" applyFont="1" applyFill="1"/>
    <xf numFmtId="164" fontId="20" fillId="8" borderId="1" xfId="0" applyNumberFormat="1" applyFont="1" applyFill="1" applyBorder="1"/>
    <xf numFmtId="0" fontId="21" fillId="28" borderId="0" xfId="0" applyFont="1" applyFill="1"/>
    <xf numFmtId="164" fontId="21" fillId="28" borderId="0" xfId="0" applyNumberFormat="1" applyFont="1" applyFill="1"/>
    <xf numFmtId="14" fontId="22" fillId="3" borderId="0" xfId="0" applyNumberFormat="1" applyFont="1" applyFill="1"/>
    <xf numFmtId="0" fontId="22" fillId="3" borderId="0" xfId="0" applyFont="1" applyFill="1"/>
    <xf numFmtId="164" fontId="22" fillId="3" borderId="0" xfId="0" applyNumberFormat="1" applyFont="1" applyFill="1"/>
    <xf numFmtId="0" fontId="22" fillId="0" borderId="0" xfId="0" applyFont="1"/>
    <xf numFmtId="164" fontId="20" fillId="8" borderId="0" xfId="0" applyNumberFormat="1" applyFont="1" applyFill="1"/>
    <xf numFmtId="0" fontId="7" fillId="13" borderId="1" xfId="0" applyFont="1" applyFill="1" applyBorder="1"/>
    <xf numFmtId="164" fontId="7" fillId="13" borderId="1" xfId="0" applyNumberFormat="1" applyFont="1" applyFill="1" applyBorder="1"/>
    <xf numFmtId="44" fontId="7" fillId="13" borderId="1" xfId="1" applyFont="1" applyFill="1" applyBorder="1"/>
    <xf numFmtId="0" fontId="7" fillId="11" borderId="1" xfId="0" applyFont="1" applyFill="1" applyBorder="1"/>
    <xf numFmtId="44" fontId="7" fillId="11" borderId="1" xfId="1" applyFont="1" applyFill="1" applyBorder="1"/>
    <xf numFmtId="164" fontId="7" fillId="11" borderId="1" xfId="0" applyNumberFormat="1" applyFont="1" applyFill="1" applyBorder="1"/>
    <xf numFmtId="0" fontId="0" fillId="0" borderId="0" xfId="0" applyBorder="1"/>
    <xf numFmtId="0" fontId="0" fillId="0" borderId="0" xfId="1" applyNumberFormat="1" applyFont="1" applyBorder="1"/>
    <xf numFmtId="0" fontId="0" fillId="0" borderId="13" xfId="1" applyNumberFormat="1" applyFont="1" applyBorder="1"/>
    <xf numFmtId="164" fontId="0" fillId="0" borderId="0" xfId="0" applyNumberFormat="1" applyBorder="1"/>
    <xf numFmtId="164" fontId="7" fillId="4" borderId="0" xfId="1" applyNumberFormat="1" applyFont="1" applyFill="1"/>
    <xf numFmtId="14" fontId="0" fillId="7" borderId="0" xfId="0" applyNumberFormat="1" applyFill="1" applyAlignment="1">
      <alignment horizontal="left"/>
    </xf>
    <xf numFmtId="0" fontId="0" fillId="7" borderId="0" xfId="0" applyFill="1"/>
    <xf numFmtId="0" fontId="0" fillId="0" borderId="0" xfId="0"/>
    <xf numFmtId="0" fontId="0" fillId="0" borderId="0" xfId="1" applyNumberFormat="1" applyFont="1"/>
    <xf numFmtId="44" fontId="0" fillId="0" borderId="0" xfId="1" applyFont="1"/>
    <xf numFmtId="14" fontId="0" fillId="0" borderId="0" xfId="0" applyNumberFormat="1" applyAlignment="1">
      <alignment horizontal="left"/>
    </xf>
    <xf numFmtId="14" fontId="0" fillId="7" borderId="1" xfId="0" applyNumberFormat="1" applyFill="1" applyBorder="1" applyAlignment="1">
      <alignment horizontal="left"/>
    </xf>
    <xf numFmtId="0" fontId="0" fillId="7" borderId="1" xfId="0" applyFill="1" applyBorder="1"/>
    <xf numFmtId="44" fontId="0" fillId="7" borderId="1" xfId="0" applyNumberFormat="1" applyFill="1" applyBorder="1"/>
    <xf numFmtId="0" fontId="0" fillId="7" borderId="0" xfId="1" applyNumberFormat="1" applyFont="1" applyFill="1"/>
    <xf numFmtId="44" fontId="0" fillId="7" borderId="0" xfId="1" applyFont="1" applyFill="1"/>
    <xf numFmtId="0" fontId="3" fillId="8" borderId="1" xfId="0" applyFont="1" applyFill="1" applyBorder="1"/>
    <xf numFmtId="164" fontId="3" fillId="8" borderId="1" xfId="0" applyNumberFormat="1" applyFont="1" applyFill="1" applyBorder="1"/>
    <xf numFmtId="0" fontId="4" fillId="9" borderId="0" xfId="0" applyFont="1" applyFill="1" applyAlignment="1">
      <alignment horizontal="center"/>
    </xf>
    <xf numFmtId="0" fontId="0" fillId="9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164" fontId="12" fillId="3" borderId="7" xfId="0" applyNumberFormat="1" applyFont="1" applyFill="1" applyBorder="1" applyAlignment="1">
      <alignment horizontal="center"/>
    </xf>
    <xf numFmtId="164" fontId="12" fillId="3" borderId="0" xfId="0" applyNumberFormat="1" applyFont="1" applyFill="1" applyBorder="1" applyAlignment="1">
      <alignment horizontal="center"/>
    </xf>
    <xf numFmtId="164" fontId="12" fillId="3" borderId="11" xfId="0" applyNumberFormat="1" applyFont="1" applyFill="1" applyBorder="1" applyAlignment="1">
      <alignment horizontal="center"/>
    </xf>
    <xf numFmtId="164" fontId="0" fillId="17" borderId="1" xfId="0" applyNumberFormat="1" applyFill="1" applyBorder="1"/>
    <xf numFmtId="164" fontId="4" fillId="17" borderId="1" xfId="0" applyNumberFormat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40">
    <dxf>
      <numFmt numFmtId="164" formatCode="&quot;$&quot;#,##0.00"/>
    </dxf>
    <dxf>
      <numFmt numFmtId="164" formatCode="&quot;$&quot;#,##0.00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solid">
          <fgColor indexed="64"/>
          <bgColor theme="4"/>
        </patternFill>
      </fill>
    </dxf>
    <dxf>
      <numFmt numFmtId="164" formatCode="&quot;$&quot;#,##0.0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scheme val="none"/>
      </font>
      <numFmt numFmtId="19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fill>
        <patternFill patternType="solid">
          <fgColor indexed="64"/>
          <bgColor theme="0"/>
        </patternFill>
      </fill>
    </dxf>
    <dxf>
      <numFmt numFmtId="164" formatCode="&quot;$&quot;#,##0.0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&quot;$&quot;#,##0.0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numFmt numFmtId="164" formatCode="&quot;$&quot;#,##0.00"/>
      <border diagonalUp="0" diagonalDown="0" outline="0">
        <left/>
        <right/>
        <top/>
        <bottom/>
      </border>
    </dxf>
    <dxf>
      <numFmt numFmtId="164" formatCode="&quot;$&quot;#,##0.00"/>
    </dxf>
    <dxf>
      <numFmt numFmtId="164" formatCode="&quot;$&quot;#,##0.00"/>
      <border diagonalUp="0" diagonalDown="0" outline="0">
        <left/>
        <right/>
        <top/>
        <bottom/>
      </border>
    </dxf>
    <dxf>
      <numFmt numFmtId="164" formatCode="&quot;$&quot;#,##0.00"/>
    </dxf>
    <dxf>
      <numFmt numFmtId="164" formatCode="&quot;$&quot;#,##0.00"/>
      <border diagonalUp="0" diagonalDown="0" outline="0">
        <left/>
        <right/>
        <top/>
        <bottom/>
      </border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numFmt numFmtId="164" formatCode="&quot;$&quot;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colors>
    <mruColors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3" name="Table3" displayName="Table3" ref="A1:H15" totalsRowShown="0">
  <autoFilter ref="A1:H15"/>
  <tableColumns count="8">
    <tableColumn id="1" name="data" dataDxfId="39"/>
    <tableColumn id="2" name="itemname" dataDxfId="38"/>
    <tableColumn id="3" name="qty" dataDxfId="37"/>
    <tableColumn id="4" name="price" dataDxfId="36"/>
    <tableColumn id="5" name="amount" dataDxfId="35"/>
    <tableColumn id="6" name="baxashay" dataDxfId="34"/>
    <tableColumn id="7" name="haradi" dataDxfId="33">
      <calculatedColumnFormula>E13-Table3[[#This Row],[baxashay]]</calculatedColumnFormula>
    </tableColumn>
    <tableColumn id="8" name="Column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A1:G11" totalsRowCount="1">
  <autoFilter ref="A1:G10"/>
  <tableColumns count="7">
    <tableColumn id="1" name="data" totalsRowDxfId="32"/>
    <tableColumn id="2" name="itemname" totalsRowDxfId="31"/>
    <tableColumn id="3" name="qty" dataDxfId="30" totalsRowDxfId="29" dataCellStyle="Currency"/>
    <tableColumn id="4" name="price" totalsRowDxfId="28" dataCellStyle="Currency"/>
    <tableColumn id="5" name="amount" dataDxfId="27" totalsRowDxfId="26"/>
    <tableColumn id="6" name="baxashay" dataDxfId="25" totalsRowDxfId="24"/>
    <tableColumn id="7" name="haradi" dataDxfId="23" totalsRowDxfId="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7" name="Table7" displayName="Table7" ref="A1:G25" totalsRowShown="0" headerRowDxfId="21" dataDxfId="20">
  <autoFilter ref="A1:G25"/>
  <tableColumns count="7">
    <tableColumn id="1" name="data" dataDxfId="19"/>
    <tableColumn id="2" name="itemname" dataDxfId="18"/>
    <tableColumn id="3" name="qty" dataDxfId="17"/>
    <tableColumn id="4" name="price" dataDxfId="16"/>
    <tableColumn id="5" name="amount" dataDxfId="15">
      <calculatedColumnFormula>Table7[[#This Row],[qty]]*Table7[[#This Row],[price]]</calculatedColumnFormula>
    </tableColumn>
    <tableColumn id="6" name="Column6" dataDxfId="14"/>
    <tableColumn id="7" name="Column7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8" name="Table8" displayName="Table8" ref="A1:G7" totalsRowCount="1">
  <autoFilter ref="A1:G6"/>
  <tableColumns count="7">
    <tableColumn id="1" name="data"/>
    <tableColumn id="2" name="itemname"/>
    <tableColumn id="3" name="qty" dataDxfId="12" totalsRowDxfId="11" dataCellStyle="Currency"/>
    <tableColumn id="4" name="prie" totalsRowLabel=" total " totalsRowDxfId="10" dataCellStyle="Currency"/>
    <tableColumn id="5" name="amount" totalsRowFunction="sum" totalsRowDxfId="9" dataCellStyle="Currency">
      <calculatedColumnFormula>Table8[[#This Row],[qty]]*Table8[[#This Row],[prie]]</calculatedColumnFormula>
    </tableColumn>
    <tableColumn id="6" name="Column6"/>
    <tableColumn id="7" name="Column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4" name="Table4" displayName="Table4" ref="A1:H80" totalsRowShown="0">
  <autoFilter ref="A1:H80"/>
  <tableColumns count="8">
    <tableColumn id="1" name="data"/>
    <tableColumn id="2" name="itemname"/>
    <tableColumn id="3" name="qty"/>
    <tableColumn id="4" name="price" dataDxfId="8"/>
    <tableColumn id="5" name="amount" dataDxfId="7"/>
    <tableColumn id="6" name="Column6"/>
    <tableColumn id="7" name="Column7"/>
    <tableColumn id="8" name="Column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2" name="Table2" displayName="Table2" ref="A1:H36" totalsRowShown="0">
  <autoFilter ref="A1:H36"/>
  <tableColumns count="8">
    <tableColumn id="1" name="data" dataDxfId="6"/>
    <tableColumn id="2" name="itemname"/>
    <tableColumn id="3" name="qty"/>
    <tableColumn id="4" name="price" dataDxfId="5"/>
    <tableColumn id="5" name="amount" dataDxfId="4"/>
    <tableColumn id="6" name="Column6"/>
    <tableColumn id="7" name="Column7"/>
    <tableColumn id="8" name="Column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1" name="Table15" displayName="Table15" ref="A1:E8" totalsRowShown="0" headerRowDxfId="3">
  <autoFilter ref="A1:E8"/>
  <tableColumns count="5">
    <tableColumn id="1" name="Date" dataDxfId="2"/>
    <tableColumn id="3" name="item name"/>
    <tableColumn id="4" name="QTY"/>
    <tableColumn id="5" name="price" dataDxfId="1"/>
    <tableColumn id="6" name="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15"/>
  <sheetViews>
    <sheetView tabSelected="1" workbookViewId="0">
      <selection activeCell="N12" sqref="N12"/>
    </sheetView>
  </sheetViews>
  <sheetFormatPr defaultRowHeight="14.85" x14ac:dyDescent="0.25"/>
  <cols>
    <col min="1" max="1" width="10.375" bestFit="1" customWidth="1"/>
    <col min="2" max="2" width="14.375" bestFit="1" customWidth="1"/>
    <col min="3" max="3" width="5.875" bestFit="1" customWidth="1"/>
    <col min="4" max="4" width="7.25" bestFit="1" customWidth="1"/>
    <col min="5" max="6" width="10.875" bestFit="1" customWidth="1"/>
    <col min="7" max="7" width="8.5" bestFit="1" customWidth="1"/>
    <col min="8" max="8" width="10.5" bestFit="1" customWidth="1"/>
    <col min="12" max="12" width="14.625" customWidth="1"/>
    <col min="14" max="14" width="12.375" bestFit="1" customWidth="1"/>
  </cols>
  <sheetData>
    <row r="1" spans="1:15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128</v>
      </c>
      <c r="G1" t="s">
        <v>120</v>
      </c>
      <c r="H1" t="s">
        <v>2</v>
      </c>
    </row>
    <row r="2" spans="1:15" x14ac:dyDescent="0.25">
      <c r="A2" s="38" t="s">
        <v>121</v>
      </c>
      <c r="B2" s="38" t="s">
        <v>122</v>
      </c>
      <c r="C2" s="38">
        <v>7</v>
      </c>
      <c r="D2" s="39">
        <v>3.5</v>
      </c>
      <c r="E2" s="39">
        <f>C2*D2</f>
        <v>24.5</v>
      </c>
      <c r="F2" s="39">
        <v>56</v>
      </c>
      <c r="G2" s="39">
        <f>E13-Table3[[#This Row],[baxashay]]</f>
        <v>56.399999999999991</v>
      </c>
    </row>
    <row r="3" spans="1:15" x14ac:dyDescent="0.25">
      <c r="A3" s="38" t="s">
        <v>121</v>
      </c>
      <c r="B3" s="38" t="s">
        <v>63</v>
      </c>
      <c r="C3" s="38">
        <v>3</v>
      </c>
      <c r="D3" s="39">
        <v>7</v>
      </c>
      <c r="E3" s="39">
        <f t="shared" ref="E3:E8" si="0">C3*D3</f>
        <v>21</v>
      </c>
      <c r="F3" s="39"/>
      <c r="G3" s="39">
        <f>E14-Table3[[#This Row],[baxashay]]</f>
        <v>0</v>
      </c>
    </row>
    <row r="4" spans="1:15" x14ac:dyDescent="0.25">
      <c r="A4" s="38" t="s">
        <v>121</v>
      </c>
      <c r="B4" s="38" t="s">
        <v>123</v>
      </c>
      <c r="C4" s="38">
        <v>10</v>
      </c>
      <c r="D4" s="39">
        <v>1.85</v>
      </c>
      <c r="E4" s="39">
        <f t="shared" si="0"/>
        <v>18.5</v>
      </c>
      <c r="F4" s="39"/>
      <c r="G4" s="39">
        <f>E15-Table3[[#This Row],[baxashay]]</f>
        <v>0</v>
      </c>
    </row>
    <row r="5" spans="1:15" x14ac:dyDescent="0.25">
      <c r="A5" s="38" t="s">
        <v>121</v>
      </c>
      <c r="B5" s="38" t="s">
        <v>64</v>
      </c>
      <c r="C5" s="38">
        <v>1</v>
      </c>
      <c r="D5" s="39">
        <v>1.5</v>
      </c>
      <c r="E5" s="39">
        <f t="shared" si="0"/>
        <v>1.5</v>
      </c>
      <c r="F5" s="39"/>
      <c r="G5" s="39">
        <f>E16-Table3[[#This Row],[baxashay]]</f>
        <v>0</v>
      </c>
    </row>
    <row r="6" spans="1:15" x14ac:dyDescent="0.25">
      <c r="A6" s="38" t="s">
        <v>121</v>
      </c>
      <c r="B6" s="38" t="s">
        <v>124</v>
      </c>
      <c r="C6" s="38">
        <v>2</v>
      </c>
      <c r="D6" s="39">
        <v>0.5</v>
      </c>
      <c r="E6" s="39">
        <f t="shared" si="0"/>
        <v>1</v>
      </c>
      <c r="F6" s="39"/>
      <c r="G6" s="39">
        <f>E17-Table3[[#This Row],[baxashay]]</f>
        <v>0</v>
      </c>
    </row>
    <row r="7" spans="1:15" x14ac:dyDescent="0.25">
      <c r="A7" s="40">
        <v>45923</v>
      </c>
      <c r="B7" s="38" t="s">
        <v>77</v>
      </c>
      <c r="C7" s="38">
        <v>8</v>
      </c>
      <c r="D7" s="39">
        <v>1.85</v>
      </c>
      <c r="E7" s="39">
        <f t="shared" si="0"/>
        <v>14.8</v>
      </c>
      <c r="F7" s="39"/>
      <c r="G7" s="39">
        <f>E18-Table3[[#This Row],[baxashay]]</f>
        <v>0</v>
      </c>
    </row>
    <row r="8" spans="1:15" x14ac:dyDescent="0.25">
      <c r="A8" s="40">
        <v>45923</v>
      </c>
      <c r="B8" s="38" t="s">
        <v>124</v>
      </c>
      <c r="C8" s="38">
        <v>10</v>
      </c>
      <c r="D8" s="39">
        <v>0.5</v>
      </c>
      <c r="E8" s="39">
        <f t="shared" si="0"/>
        <v>5</v>
      </c>
      <c r="F8" s="39"/>
      <c r="G8" s="39">
        <f>E19-Table3[[#This Row],[baxashay]]</f>
        <v>0</v>
      </c>
    </row>
    <row r="9" spans="1:15" x14ac:dyDescent="0.25">
      <c r="A9" s="40">
        <v>45979</v>
      </c>
      <c r="B9" s="38" t="s">
        <v>125</v>
      </c>
      <c r="C9" s="38">
        <v>1</v>
      </c>
      <c r="D9" s="39">
        <v>6.5</v>
      </c>
      <c r="E9" s="39">
        <f>C9*D9</f>
        <v>6.5</v>
      </c>
      <c r="F9" s="39"/>
      <c r="G9" s="39">
        <f>E20-Table3[[#This Row],[baxashay]]</f>
        <v>0</v>
      </c>
    </row>
    <row r="10" spans="1:15" x14ac:dyDescent="0.25">
      <c r="A10" s="40">
        <v>45979</v>
      </c>
      <c r="B10" s="38" t="s">
        <v>63</v>
      </c>
      <c r="C10" s="38">
        <v>1</v>
      </c>
      <c r="D10" s="39">
        <v>7.6</v>
      </c>
      <c r="E10" s="39">
        <f>C10*D10</f>
        <v>7.6</v>
      </c>
      <c r="F10" s="39"/>
      <c r="G10" s="39">
        <f>E21-Table3[[#This Row],[baxashay]]</f>
        <v>0</v>
      </c>
    </row>
    <row r="11" spans="1:15" x14ac:dyDescent="0.25">
      <c r="A11" s="40">
        <v>45979</v>
      </c>
      <c r="B11" s="38" t="s">
        <v>124</v>
      </c>
      <c r="C11" s="38">
        <v>2</v>
      </c>
      <c r="D11" s="39">
        <v>0.5</v>
      </c>
      <c r="E11" s="39">
        <f>C11*D11</f>
        <v>1</v>
      </c>
      <c r="F11" s="39"/>
      <c r="G11" s="39">
        <f>E22-Table3[[#This Row],[baxashay]]</f>
        <v>0</v>
      </c>
    </row>
    <row r="12" spans="1:15" ht="18.350000000000001" x14ac:dyDescent="0.3">
      <c r="A12" s="40">
        <v>45979</v>
      </c>
      <c r="B12" s="38" t="s">
        <v>126</v>
      </c>
      <c r="C12" s="38">
        <v>1</v>
      </c>
      <c r="D12" s="39">
        <v>11</v>
      </c>
      <c r="E12" s="39">
        <f>C12*D12</f>
        <v>11</v>
      </c>
      <c r="F12" s="39"/>
      <c r="G12" s="39">
        <f>E23-Table3[[#This Row],[baxashay]]</f>
        <v>0</v>
      </c>
      <c r="K12" s="223"/>
      <c r="L12" s="223" t="s">
        <v>368</v>
      </c>
      <c r="M12" s="223"/>
      <c r="N12" s="224">
        <v>16634.900000000001</v>
      </c>
      <c r="O12" s="223"/>
    </row>
    <row r="13" spans="1:15" ht="21.2" x14ac:dyDescent="0.35">
      <c r="A13" s="38"/>
      <c r="B13" s="38" t="s">
        <v>127</v>
      </c>
      <c r="C13" s="38"/>
      <c r="D13" s="17"/>
      <c r="E13" s="18">
        <f>SUBTOTAL(109,E2:E12)</f>
        <v>112.39999999999999</v>
      </c>
      <c r="F13" s="39"/>
      <c r="G13" s="39">
        <f>E24-Table3[[#This Row],[baxashay]]</f>
        <v>0</v>
      </c>
      <c r="K13" s="223"/>
      <c r="L13" s="223"/>
      <c r="M13" s="223"/>
      <c r="N13" s="223"/>
      <c r="O13" s="223"/>
    </row>
    <row r="14" spans="1:15" x14ac:dyDescent="0.25">
      <c r="A14" s="40">
        <v>45923</v>
      </c>
      <c r="B14" s="38" t="s">
        <v>128</v>
      </c>
      <c r="C14" s="38"/>
      <c r="D14" s="39">
        <v>40</v>
      </c>
      <c r="E14" s="39"/>
      <c r="F14" s="39"/>
      <c r="G14" s="39">
        <f>E25-Table3[[#This Row],[baxashay]]</f>
        <v>0</v>
      </c>
    </row>
    <row r="15" spans="1:15" x14ac:dyDescent="0.25">
      <c r="A15" s="40">
        <v>45941</v>
      </c>
      <c r="B15" s="38" t="s">
        <v>128</v>
      </c>
      <c r="C15" s="38"/>
      <c r="D15" s="39">
        <v>16</v>
      </c>
      <c r="E15" s="39"/>
      <c r="F15" s="39"/>
      <c r="G15" s="39">
        <f>E26-Table3[[#This Row],[baxashay]]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16"/>
  <sheetViews>
    <sheetView workbookViewId="0">
      <selection activeCell="E16" sqref="E16"/>
    </sheetView>
  </sheetViews>
  <sheetFormatPr defaultRowHeight="14.85" x14ac:dyDescent="0.25"/>
  <cols>
    <col min="1" max="1" width="15.75" customWidth="1"/>
    <col min="2" max="2" width="16.5" customWidth="1"/>
    <col min="3" max="4" width="10.375" customWidth="1"/>
    <col min="5" max="5" width="13.625" style="3" customWidth="1"/>
    <col min="6" max="6" width="10.375" customWidth="1"/>
  </cols>
  <sheetData>
    <row r="1" spans="1:7" x14ac:dyDescent="0.25">
      <c r="A1" t="s">
        <v>3</v>
      </c>
      <c r="B1" t="s">
        <v>4</v>
      </c>
      <c r="C1" t="s">
        <v>5</v>
      </c>
      <c r="D1" t="s">
        <v>6</v>
      </c>
      <c r="E1" s="3" t="s">
        <v>7</v>
      </c>
      <c r="F1" t="s">
        <v>128</v>
      </c>
      <c r="G1" t="s">
        <v>120</v>
      </c>
    </row>
    <row r="2" spans="1:7" ht="21.2" x14ac:dyDescent="0.35">
      <c r="A2" s="45">
        <v>45901</v>
      </c>
      <c r="B2" s="46" t="s">
        <v>129</v>
      </c>
      <c r="C2" s="47">
        <v>12</v>
      </c>
      <c r="D2" s="48">
        <v>3</v>
      </c>
      <c r="E2" s="203">
        <f>C2*D2</f>
        <v>36</v>
      </c>
      <c r="F2" s="3"/>
      <c r="G2" s="3"/>
    </row>
    <row r="3" spans="1:7" ht="21.2" x14ac:dyDescent="0.35">
      <c r="A3" s="45">
        <v>45901</v>
      </c>
      <c r="B3" s="46" t="s">
        <v>130</v>
      </c>
      <c r="C3" s="47">
        <v>3</v>
      </c>
      <c r="D3" s="48">
        <v>3.5</v>
      </c>
      <c r="E3" s="203">
        <f>C3*D3</f>
        <v>10.5</v>
      </c>
      <c r="F3" s="3"/>
      <c r="G3" s="3"/>
    </row>
    <row r="4" spans="1:7" ht="21.2" x14ac:dyDescent="0.35">
      <c r="A4" s="45">
        <v>45901</v>
      </c>
      <c r="B4" s="46" t="s">
        <v>131</v>
      </c>
      <c r="C4" s="47">
        <v>3</v>
      </c>
      <c r="D4" s="48">
        <v>4.5</v>
      </c>
      <c r="E4" s="203">
        <f>C4*D4</f>
        <v>13.5</v>
      </c>
      <c r="F4" s="3"/>
      <c r="G4" s="3"/>
    </row>
    <row r="5" spans="1:7" x14ac:dyDescent="0.25">
      <c r="A5" s="2">
        <v>46013</v>
      </c>
      <c r="B5" t="s">
        <v>158</v>
      </c>
      <c r="C5" s="49">
        <v>4</v>
      </c>
      <c r="D5" s="50">
        <v>4.5</v>
      </c>
      <c r="E5" s="136">
        <f>Table5[[#This Row],[qty]]*Table5[[#This Row],[price]]</f>
        <v>18</v>
      </c>
      <c r="F5" s="3"/>
      <c r="G5" s="3"/>
    </row>
    <row r="6" spans="1:7" x14ac:dyDescent="0.25">
      <c r="A6" s="2">
        <v>46013</v>
      </c>
      <c r="B6" t="s">
        <v>333</v>
      </c>
      <c r="C6" s="49">
        <v>5</v>
      </c>
      <c r="D6" s="51">
        <v>5</v>
      </c>
      <c r="E6" s="136">
        <f>Table5[[#This Row],[qty]]*Table5[[#This Row],[price]]</f>
        <v>25</v>
      </c>
      <c r="F6" s="3"/>
      <c r="G6" s="3"/>
    </row>
    <row r="7" spans="1:7" x14ac:dyDescent="0.25">
      <c r="A7" s="2">
        <v>46013</v>
      </c>
      <c r="B7" t="s">
        <v>334</v>
      </c>
      <c r="C7" s="49">
        <v>10</v>
      </c>
      <c r="D7" s="51">
        <v>2</v>
      </c>
      <c r="E7" s="136">
        <f>Table5[[#This Row],[qty]]*Table5[[#This Row],[price]]</f>
        <v>20</v>
      </c>
      <c r="F7" s="3"/>
      <c r="G7" s="3"/>
    </row>
    <row r="8" spans="1:7" x14ac:dyDescent="0.25">
      <c r="A8" s="2">
        <v>46013</v>
      </c>
      <c r="B8" t="s">
        <v>335</v>
      </c>
      <c r="C8" s="49">
        <v>1</v>
      </c>
      <c r="D8">
        <v>10</v>
      </c>
      <c r="E8" s="136">
        <f>Table5[[#This Row],[qty]]*Table5[[#This Row],[price]]</f>
        <v>10</v>
      </c>
      <c r="F8" s="3"/>
      <c r="G8" s="3"/>
    </row>
    <row r="9" spans="1:7" x14ac:dyDescent="0.25">
      <c r="A9" s="2">
        <v>46013</v>
      </c>
      <c r="B9" t="s">
        <v>113</v>
      </c>
      <c r="C9" s="49">
        <v>2</v>
      </c>
      <c r="D9">
        <v>1</v>
      </c>
      <c r="E9" s="136">
        <f>Table5[[#This Row],[qty]]*Table5[[#This Row],[price]]</f>
        <v>2</v>
      </c>
      <c r="F9" s="3"/>
      <c r="G9" s="3"/>
    </row>
    <row r="10" spans="1:7" x14ac:dyDescent="0.25">
      <c r="A10" s="2">
        <v>46013</v>
      </c>
      <c r="B10" t="s">
        <v>336</v>
      </c>
      <c r="C10" s="49">
        <v>0.5</v>
      </c>
      <c r="D10">
        <v>2</v>
      </c>
      <c r="E10" s="136">
        <f>Table5[[#This Row],[qty]]*Table5[[#This Row],[price]]</f>
        <v>1</v>
      </c>
      <c r="F10" s="3"/>
      <c r="G10" s="3"/>
    </row>
    <row r="11" spans="1:7" x14ac:dyDescent="0.25">
      <c r="A11" s="199"/>
      <c r="B11" s="199"/>
      <c r="C11" s="200"/>
      <c r="D11" s="201"/>
      <c r="E11" s="202"/>
      <c r="F11" s="202"/>
      <c r="G11" s="202"/>
    </row>
    <row r="13" spans="1:7" x14ac:dyDescent="0.25">
      <c r="A13" s="2"/>
    </row>
    <row r="15" spans="1:7" ht="18.350000000000001" x14ac:dyDescent="0.3">
      <c r="A15" s="215"/>
      <c r="B15" s="215" t="s">
        <v>97</v>
      </c>
      <c r="C15" s="215" t="s">
        <v>367</v>
      </c>
      <c r="D15" s="215" t="s">
        <v>120</v>
      </c>
      <c r="E15" s="216">
        <v>247</v>
      </c>
      <c r="F15" s="215"/>
    </row>
    <row r="16" spans="1:7" ht="18.350000000000001" x14ac:dyDescent="0.3">
      <c r="A16" s="215"/>
      <c r="B16" s="215"/>
      <c r="C16" s="215">
        <v>64</v>
      </c>
      <c r="D16" s="216">
        <f>E15-C16</f>
        <v>183</v>
      </c>
      <c r="E16" s="216"/>
      <c r="F16" s="21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27"/>
  <sheetViews>
    <sheetView topLeftCell="A9" workbookViewId="0">
      <selection activeCell="E27" sqref="E27"/>
    </sheetView>
  </sheetViews>
  <sheetFormatPr defaultRowHeight="14.85" x14ac:dyDescent="0.25"/>
  <cols>
    <col min="1" max="1" width="16.875" customWidth="1"/>
    <col min="2" max="7" width="12.25" customWidth="1"/>
  </cols>
  <sheetData>
    <row r="1" spans="1:7" ht="18.350000000000001" x14ac:dyDescent="0.3">
      <c r="A1" s="53" t="s">
        <v>3</v>
      </c>
      <c r="B1" s="53" t="s">
        <v>4</v>
      </c>
      <c r="C1" s="53" t="s">
        <v>5</v>
      </c>
      <c r="D1" s="53" t="s">
        <v>6</v>
      </c>
      <c r="E1" s="53" t="s">
        <v>7</v>
      </c>
      <c r="F1" s="53" t="s">
        <v>0</v>
      </c>
      <c r="G1" s="53" t="s">
        <v>1</v>
      </c>
    </row>
    <row r="2" spans="1:7" ht="18.350000000000001" x14ac:dyDescent="0.3">
      <c r="A2" s="19">
        <v>45959</v>
      </c>
      <c r="B2" s="20" t="s">
        <v>63</v>
      </c>
      <c r="C2" s="20">
        <v>47</v>
      </c>
      <c r="D2" s="21">
        <v>7</v>
      </c>
      <c r="E2" s="22">
        <f>Table7[[#This Row],[qty]]*Table7[[#This Row],[price]]</f>
        <v>329</v>
      </c>
      <c r="F2" s="53"/>
      <c r="G2" s="53"/>
    </row>
    <row r="3" spans="1:7" ht="18.350000000000001" x14ac:dyDescent="0.3">
      <c r="A3" s="23">
        <v>45959</v>
      </c>
      <c r="B3" s="24" t="s">
        <v>100</v>
      </c>
      <c r="C3" s="25">
        <v>10</v>
      </c>
      <c r="D3" s="26">
        <v>2</v>
      </c>
      <c r="E3" s="27">
        <f>Table7[[#This Row],[qty]]*Table7[[#This Row],[price]]</f>
        <v>20</v>
      </c>
      <c r="F3" s="53"/>
      <c r="G3" s="53"/>
    </row>
    <row r="4" spans="1:7" ht="18.350000000000001" x14ac:dyDescent="0.3">
      <c r="A4" s="28">
        <v>45959</v>
      </c>
      <c r="B4" s="29" t="s">
        <v>101</v>
      </c>
      <c r="C4" s="20">
        <v>1</v>
      </c>
      <c r="D4" s="21">
        <v>18</v>
      </c>
      <c r="E4" s="22">
        <f>Table7[[#This Row],[qty]]*Table7[[#This Row],[price]]</f>
        <v>18</v>
      </c>
      <c r="F4" s="53"/>
      <c r="G4" s="53"/>
    </row>
    <row r="5" spans="1:7" ht="18.350000000000001" x14ac:dyDescent="0.3">
      <c r="A5" s="23">
        <v>45668</v>
      </c>
      <c r="B5" s="24" t="s">
        <v>102</v>
      </c>
      <c r="C5" s="25">
        <v>2</v>
      </c>
      <c r="D5" s="26">
        <v>13</v>
      </c>
      <c r="E5" s="27">
        <f>Table7[[#This Row],[qty]]*Table7[[#This Row],[price]]</f>
        <v>26</v>
      </c>
      <c r="F5" s="53"/>
      <c r="G5" s="53"/>
    </row>
    <row r="6" spans="1:7" ht="18.350000000000001" x14ac:dyDescent="0.3">
      <c r="A6" s="28">
        <v>45668</v>
      </c>
      <c r="B6" s="29" t="s">
        <v>103</v>
      </c>
      <c r="C6" s="20">
        <v>2</v>
      </c>
      <c r="D6" s="21">
        <v>2</v>
      </c>
      <c r="E6" s="22">
        <f>Table7[[#This Row],[qty]]*Table7[[#This Row],[price]]</f>
        <v>4</v>
      </c>
      <c r="F6" s="53"/>
      <c r="G6" s="53"/>
    </row>
    <row r="7" spans="1:7" ht="18.350000000000001" x14ac:dyDescent="0.3">
      <c r="A7" s="30">
        <v>45962</v>
      </c>
      <c r="B7" s="25" t="s">
        <v>104</v>
      </c>
      <c r="C7" s="25">
        <v>10</v>
      </c>
      <c r="D7" s="26">
        <v>0.5</v>
      </c>
      <c r="E7" s="27">
        <f>Table7[[#This Row],[qty]]*Table7[[#This Row],[price]]</f>
        <v>5</v>
      </c>
      <c r="F7" s="53"/>
      <c r="G7" s="53"/>
    </row>
    <row r="8" spans="1:7" ht="18.350000000000001" x14ac:dyDescent="0.3">
      <c r="A8" s="19">
        <v>45962</v>
      </c>
      <c r="B8" s="20" t="s">
        <v>105</v>
      </c>
      <c r="C8" s="20">
        <v>1</v>
      </c>
      <c r="D8" s="21">
        <v>10</v>
      </c>
      <c r="E8" s="22">
        <f>Table7[[#This Row],[qty]]*Table7[[#This Row],[price]]</f>
        <v>10</v>
      </c>
      <c r="F8" s="53"/>
      <c r="G8" s="53"/>
    </row>
    <row r="9" spans="1:7" ht="18.350000000000001" x14ac:dyDescent="0.3">
      <c r="A9" s="30">
        <v>45962</v>
      </c>
      <c r="B9" s="25" t="s">
        <v>106</v>
      </c>
      <c r="C9" s="25">
        <v>1</v>
      </c>
      <c r="D9" s="26">
        <v>2.5</v>
      </c>
      <c r="E9" s="27">
        <f>Table7[[#This Row],[qty]]*Table7[[#This Row],[price]]</f>
        <v>2.5</v>
      </c>
      <c r="F9" s="53"/>
      <c r="G9" s="53"/>
    </row>
    <row r="10" spans="1:7" ht="18.350000000000001" x14ac:dyDescent="0.3">
      <c r="A10" s="19">
        <v>45962</v>
      </c>
      <c r="B10" s="20" t="s">
        <v>107</v>
      </c>
      <c r="C10" s="20">
        <v>0.5</v>
      </c>
      <c r="D10" s="21">
        <v>1.25</v>
      </c>
      <c r="E10" s="22">
        <f>Table7[[#This Row],[qty]]*Table7[[#This Row],[price]]</f>
        <v>0.625</v>
      </c>
      <c r="F10" s="53"/>
      <c r="G10" s="53"/>
    </row>
    <row r="11" spans="1:7" ht="18.350000000000001" x14ac:dyDescent="0.3">
      <c r="A11" s="30">
        <v>45962</v>
      </c>
      <c r="B11" s="25" t="s">
        <v>108</v>
      </c>
      <c r="C11" s="25">
        <v>2</v>
      </c>
      <c r="D11" s="26">
        <v>0.25</v>
      </c>
      <c r="E11" s="27">
        <f>Table7[[#This Row],[qty]]*Table7[[#This Row],[price]]</f>
        <v>0.5</v>
      </c>
      <c r="F11" s="53"/>
      <c r="G11" s="53"/>
    </row>
    <row r="12" spans="1:7" ht="18.350000000000001" x14ac:dyDescent="0.3">
      <c r="A12" s="19">
        <v>45962</v>
      </c>
      <c r="B12" s="20" t="s">
        <v>109</v>
      </c>
      <c r="C12" s="20">
        <v>2</v>
      </c>
      <c r="D12" s="21">
        <v>0.25</v>
      </c>
      <c r="E12" s="22">
        <f>Table7[[#This Row],[qty]]*Table7[[#This Row],[price]]</f>
        <v>0.5</v>
      </c>
      <c r="F12" s="53"/>
      <c r="G12" s="53"/>
    </row>
    <row r="13" spans="1:7" ht="18.350000000000001" x14ac:dyDescent="0.3">
      <c r="A13" s="30">
        <v>45964</v>
      </c>
      <c r="B13" s="25" t="s">
        <v>110</v>
      </c>
      <c r="C13" s="25">
        <v>9</v>
      </c>
      <c r="D13" s="26">
        <v>1</v>
      </c>
      <c r="E13" s="27">
        <f>Table7[[#This Row],[qty]]*Table7[[#This Row],[price]]</f>
        <v>9</v>
      </c>
      <c r="F13" s="53"/>
      <c r="G13" s="53"/>
    </row>
    <row r="14" spans="1:7" ht="18.350000000000001" x14ac:dyDescent="0.3">
      <c r="A14" s="19">
        <v>45964</v>
      </c>
      <c r="B14" s="20" t="s">
        <v>111</v>
      </c>
      <c r="C14" s="20">
        <v>1</v>
      </c>
      <c r="D14" s="21">
        <v>1.5</v>
      </c>
      <c r="E14" s="22">
        <f>Table7[[#This Row],[qty]]*Table7[[#This Row],[price]]</f>
        <v>1.5</v>
      </c>
      <c r="F14" s="53"/>
      <c r="G14" s="53"/>
    </row>
    <row r="15" spans="1:7" ht="18.350000000000001" x14ac:dyDescent="0.3">
      <c r="A15" s="30">
        <v>45964</v>
      </c>
      <c r="B15" s="25" t="s">
        <v>112</v>
      </c>
      <c r="C15" s="25">
        <v>1</v>
      </c>
      <c r="D15" s="26">
        <v>1</v>
      </c>
      <c r="E15" s="27">
        <f>Table7[[#This Row],[qty]]*Table7[[#This Row],[price]]</f>
        <v>1</v>
      </c>
      <c r="F15" s="53"/>
      <c r="G15" s="53"/>
    </row>
    <row r="16" spans="1:7" ht="18.350000000000001" x14ac:dyDescent="0.3">
      <c r="A16" s="19">
        <v>45964</v>
      </c>
      <c r="B16" s="20" t="s">
        <v>113</v>
      </c>
      <c r="C16" s="20">
        <v>1</v>
      </c>
      <c r="D16" s="21">
        <v>1</v>
      </c>
      <c r="E16" s="22">
        <f>Table7[[#This Row],[qty]]*Table7[[#This Row],[price]]</f>
        <v>1</v>
      </c>
      <c r="F16" s="53"/>
      <c r="G16" s="53"/>
    </row>
    <row r="17" spans="1:7" ht="18.350000000000001" x14ac:dyDescent="0.3">
      <c r="A17" s="30">
        <v>45964</v>
      </c>
      <c r="B17" s="25" t="s">
        <v>114</v>
      </c>
      <c r="C17" s="25">
        <v>2</v>
      </c>
      <c r="D17" s="26">
        <v>0.5</v>
      </c>
      <c r="E17" s="27">
        <f>Table7[[#This Row],[qty]]*Table7[[#This Row],[price]]</f>
        <v>1</v>
      </c>
      <c r="F17" s="53"/>
      <c r="G17" s="53"/>
    </row>
    <row r="18" spans="1:7" ht="18.350000000000001" x14ac:dyDescent="0.3">
      <c r="A18" s="31">
        <v>45969</v>
      </c>
      <c r="B18" s="32" t="s">
        <v>113</v>
      </c>
      <c r="C18" s="32">
        <v>3</v>
      </c>
      <c r="D18" s="33">
        <v>1</v>
      </c>
      <c r="E18" s="34">
        <f>Table7[[#This Row],[qty]]*Table7[[#This Row],[price]]</f>
        <v>3</v>
      </c>
      <c r="F18" s="53"/>
      <c r="G18" s="53"/>
    </row>
    <row r="19" spans="1:7" ht="18.350000000000001" x14ac:dyDescent="0.3">
      <c r="A19" s="31">
        <v>45969</v>
      </c>
      <c r="B19" s="35" t="s">
        <v>115</v>
      </c>
      <c r="C19" s="35">
        <v>2</v>
      </c>
      <c r="D19" s="36">
        <v>0.5</v>
      </c>
      <c r="E19" s="34">
        <f>Table7[[#This Row],[qty]]*Table7[[#This Row],[price]]</f>
        <v>1</v>
      </c>
      <c r="F19" s="53"/>
      <c r="G19" s="53"/>
    </row>
    <row r="20" spans="1:7" ht="18.350000000000001" x14ac:dyDescent="0.3">
      <c r="A20" s="31">
        <v>45969</v>
      </c>
      <c r="B20" s="32" t="s">
        <v>116</v>
      </c>
      <c r="C20" s="32">
        <v>0.5</v>
      </c>
      <c r="D20" s="33">
        <v>1</v>
      </c>
      <c r="E20" s="34">
        <f>Table7[[#This Row],[qty]]*Table7[[#This Row],[price]]</f>
        <v>0.5</v>
      </c>
      <c r="F20" s="53"/>
      <c r="G20" s="53"/>
    </row>
    <row r="21" spans="1:7" ht="18.350000000000001" x14ac:dyDescent="0.3">
      <c r="A21" s="31">
        <v>45971</v>
      </c>
      <c r="B21" s="35" t="s">
        <v>113</v>
      </c>
      <c r="C21" s="35">
        <v>3</v>
      </c>
      <c r="D21" s="36">
        <v>1</v>
      </c>
      <c r="E21" s="34">
        <f>Table7[[#This Row],[qty]]*Table7[[#This Row],[price]]</f>
        <v>3</v>
      </c>
      <c r="F21" s="53"/>
      <c r="G21" s="53"/>
    </row>
    <row r="22" spans="1:7" ht="18.350000000000001" x14ac:dyDescent="0.3">
      <c r="A22" s="31">
        <v>45989</v>
      </c>
      <c r="B22" s="32" t="s">
        <v>117</v>
      </c>
      <c r="C22" s="32">
        <v>2</v>
      </c>
      <c r="D22" s="33">
        <v>1.5</v>
      </c>
      <c r="E22" s="34">
        <f>Table7[[#This Row],[qty]]*Table7[[#This Row],[price]]</f>
        <v>3</v>
      </c>
      <c r="F22" s="53"/>
      <c r="G22" s="53"/>
    </row>
    <row r="23" spans="1:7" ht="18.350000000000001" x14ac:dyDescent="0.3">
      <c r="A23" s="31">
        <v>45989</v>
      </c>
      <c r="B23" s="35" t="s">
        <v>118</v>
      </c>
      <c r="C23" s="35">
        <v>5</v>
      </c>
      <c r="D23" s="36">
        <v>1.5</v>
      </c>
      <c r="E23" s="34">
        <f>Table7[[#This Row],[qty]]*Table7[[#This Row],[price]]</f>
        <v>7.5</v>
      </c>
      <c r="F23" s="53"/>
      <c r="G23" s="53"/>
    </row>
    <row r="24" spans="1:7" ht="18.350000000000001" x14ac:dyDescent="0.3">
      <c r="A24" s="31">
        <v>45989</v>
      </c>
      <c r="B24" s="32" t="s">
        <v>119</v>
      </c>
      <c r="C24" s="32">
        <v>2</v>
      </c>
      <c r="D24" s="33">
        <v>2</v>
      </c>
      <c r="E24" s="34">
        <f>Table7[[#This Row],[qty]]*Table7[[#This Row],[price]]</f>
        <v>4</v>
      </c>
      <c r="F24" s="53"/>
      <c r="G24" s="53"/>
    </row>
    <row r="25" spans="1:7" ht="18.350000000000001" x14ac:dyDescent="0.3">
      <c r="A25" s="188">
        <v>45961</v>
      </c>
      <c r="B25" s="189" t="s">
        <v>63</v>
      </c>
      <c r="C25" s="189">
        <v>28</v>
      </c>
      <c r="D25" s="189">
        <v>7</v>
      </c>
      <c r="E25" s="190">
        <f>Table7[[#This Row],[qty]]*Table7[[#This Row],[price]]</f>
        <v>196</v>
      </c>
      <c r="F25" s="191"/>
      <c r="G25" s="191"/>
    </row>
    <row r="27" spans="1:7" ht="21.2" x14ac:dyDescent="0.35">
      <c r="C27" s="184"/>
      <c r="D27" s="184"/>
      <c r="E27" s="192">
        <f>SUM(E2:E26)</f>
        <v>647.625</v>
      </c>
      <c r="F27" t="s">
        <v>366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2:I30"/>
  <sheetViews>
    <sheetView topLeftCell="A10" workbookViewId="0">
      <selection activeCell="I28" sqref="I28"/>
    </sheetView>
  </sheetViews>
  <sheetFormatPr defaultRowHeight="14.85" x14ac:dyDescent="0.25"/>
  <cols>
    <col min="1" max="1" width="13.25" bestFit="1" customWidth="1"/>
    <col min="2" max="2" width="33.375" bestFit="1" customWidth="1"/>
    <col min="3" max="3" width="4.875" bestFit="1" customWidth="1"/>
    <col min="4" max="4" width="7.375" customWidth="1"/>
    <col min="5" max="5" width="15.75" customWidth="1"/>
    <col min="6" max="6" width="13.5" customWidth="1"/>
    <col min="7" max="7" width="15" bestFit="1" customWidth="1"/>
    <col min="8" max="8" width="10.875" bestFit="1" customWidth="1"/>
    <col min="9" max="10" width="13.25" bestFit="1" customWidth="1"/>
    <col min="11" max="11" width="33.375" bestFit="1" customWidth="1"/>
    <col min="12" max="12" width="5.75" bestFit="1" customWidth="1"/>
    <col min="13" max="13" width="8" bestFit="1" customWidth="1"/>
    <col min="14" max="14" width="11.875" bestFit="1" customWidth="1"/>
  </cols>
  <sheetData>
    <row r="2" spans="5:9" ht="18.350000000000001" x14ac:dyDescent="0.3">
      <c r="E2" s="217" t="s">
        <v>250</v>
      </c>
      <c r="F2" s="218"/>
      <c r="G2" s="218"/>
      <c r="H2" s="218"/>
      <c r="I2" s="218"/>
    </row>
    <row r="3" spans="5:9" ht="24" x14ac:dyDescent="0.4">
      <c r="E3" s="121" t="s">
        <v>3</v>
      </c>
      <c r="F3" s="121" t="s">
        <v>232</v>
      </c>
      <c r="G3" s="121" t="s">
        <v>5</v>
      </c>
      <c r="H3" s="121" t="s">
        <v>6</v>
      </c>
      <c r="I3" s="121" t="s">
        <v>7</v>
      </c>
    </row>
    <row r="4" spans="5:9" ht="18.350000000000001" x14ac:dyDescent="0.3">
      <c r="E4" s="117">
        <v>45983</v>
      </c>
      <c r="F4" s="118" t="s">
        <v>132</v>
      </c>
      <c r="G4" s="119">
        <v>2</v>
      </c>
      <c r="H4" s="120">
        <v>3</v>
      </c>
      <c r="I4" s="120">
        <f>G4*H4</f>
        <v>6</v>
      </c>
    </row>
    <row r="5" spans="5:9" ht="18.350000000000001" x14ac:dyDescent="0.3">
      <c r="E5" s="117">
        <v>45983</v>
      </c>
      <c r="F5" s="118" t="s">
        <v>133</v>
      </c>
      <c r="G5" s="119">
        <v>4</v>
      </c>
      <c r="H5" s="120">
        <v>1.5</v>
      </c>
      <c r="I5" s="120">
        <f>G5*H5</f>
        <v>6</v>
      </c>
    </row>
    <row r="6" spans="5:9" ht="18.350000000000001" x14ac:dyDescent="0.3">
      <c r="E6" s="117">
        <v>45990</v>
      </c>
      <c r="F6" s="118" t="s">
        <v>251</v>
      </c>
      <c r="G6" s="119">
        <v>25</v>
      </c>
      <c r="H6" s="120">
        <v>0.5</v>
      </c>
      <c r="I6" s="120">
        <f t="shared" ref="I6:I19" si="0">G6*H6</f>
        <v>12.5</v>
      </c>
    </row>
    <row r="7" spans="5:9" ht="18.350000000000001" x14ac:dyDescent="0.3">
      <c r="E7" s="117">
        <v>45990</v>
      </c>
      <c r="F7" s="118" t="s">
        <v>252</v>
      </c>
      <c r="G7" s="119">
        <v>1</v>
      </c>
      <c r="H7" s="120">
        <v>3.25</v>
      </c>
      <c r="I7" s="120">
        <f t="shared" si="0"/>
        <v>3.25</v>
      </c>
    </row>
    <row r="8" spans="5:9" ht="18.350000000000001" x14ac:dyDescent="0.3">
      <c r="E8" s="117">
        <v>45990</v>
      </c>
      <c r="F8" s="118" t="s">
        <v>253</v>
      </c>
      <c r="G8" s="119">
        <v>1</v>
      </c>
      <c r="H8" s="120">
        <v>33</v>
      </c>
      <c r="I8" s="120">
        <f t="shared" si="0"/>
        <v>33</v>
      </c>
    </row>
    <row r="9" spans="5:9" ht="18.350000000000001" x14ac:dyDescent="0.3">
      <c r="E9" s="117">
        <v>45990</v>
      </c>
      <c r="F9" s="118" t="s">
        <v>254</v>
      </c>
      <c r="G9" s="119">
        <v>1</v>
      </c>
      <c r="H9" s="120">
        <v>2</v>
      </c>
      <c r="I9" s="120">
        <f t="shared" si="0"/>
        <v>2</v>
      </c>
    </row>
    <row r="10" spans="5:9" ht="18.350000000000001" x14ac:dyDescent="0.3">
      <c r="E10" s="117">
        <v>45990</v>
      </c>
      <c r="F10" s="118" t="s">
        <v>255</v>
      </c>
      <c r="G10" s="119">
        <v>1</v>
      </c>
      <c r="H10" s="120">
        <v>1.5</v>
      </c>
      <c r="I10" s="120">
        <f t="shared" si="0"/>
        <v>1.5</v>
      </c>
    </row>
    <row r="11" spans="5:9" ht="18.350000000000001" x14ac:dyDescent="0.3">
      <c r="E11" s="117">
        <v>45990</v>
      </c>
      <c r="F11" s="118" t="s">
        <v>256</v>
      </c>
      <c r="G11" s="119">
        <v>1</v>
      </c>
      <c r="H11" s="120">
        <v>8</v>
      </c>
      <c r="I11" s="120">
        <f t="shared" si="0"/>
        <v>8</v>
      </c>
    </row>
    <row r="12" spans="5:9" ht="18.350000000000001" x14ac:dyDescent="0.3">
      <c r="E12" s="122">
        <v>45990</v>
      </c>
      <c r="F12" s="118" t="s">
        <v>63</v>
      </c>
      <c r="G12" s="119">
        <v>200</v>
      </c>
      <c r="H12" s="120">
        <v>7</v>
      </c>
      <c r="I12" s="120">
        <f t="shared" si="0"/>
        <v>1400</v>
      </c>
    </row>
    <row r="13" spans="5:9" ht="18.350000000000001" x14ac:dyDescent="0.3">
      <c r="E13" s="122">
        <v>45990</v>
      </c>
      <c r="F13" s="118" t="s">
        <v>257</v>
      </c>
      <c r="G13" s="119">
        <v>6</v>
      </c>
      <c r="H13" s="120">
        <v>64.5</v>
      </c>
      <c r="I13" s="120">
        <f t="shared" si="0"/>
        <v>387</v>
      </c>
    </row>
    <row r="14" spans="5:9" ht="18.350000000000001" x14ac:dyDescent="0.3">
      <c r="E14" s="122">
        <v>45990</v>
      </c>
      <c r="F14" s="118" t="s">
        <v>258</v>
      </c>
      <c r="G14" s="119">
        <v>1</v>
      </c>
      <c r="H14" s="120">
        <v>0.25</v>
      </c>
      <c r="I14" s="123">
        <f t="shared" si="0"/>
        <v>0.25</v>
      </c>
    </row>
    <row r="15" spans="5:9" x14ac:dyDescent="0.25">
      <c r="E15" s="122">
        <v>45991</v>
      </c>
      <c r="F15" s="94" t="s">
        <v>259</v>
      </c>
      <c r="G15" s="124">
        <v>1</v>
      </c>
      <c r="H15" s="123">
        <v>2</v>
      </c>
      <c r="I15" s="123">
        <f t="shared" si="0"/>
        <v>2</v>
      </c>
    </row>
    <row r="16" spans="5:9" x14ac:dyDescent="0.25">
      <c r="E16" s="122">
        <v>45991</v>
      </c>
      <c r="F16" s="94" t="s">
        <v>260</v>
      </c>
      <c r="G16" s="125">
        <v>1</v>
      </c>
      <c r="H16" s="126">
        <v>18</v>
      </c>
      <c r="I16" s="126">
        <f t="shared" si="0"/>
        <v>18</v>
      </c>
    </row>
    <row r="17" spans="1:9" x14ac:dyDescent="0.25">
      <c r="A17" s="37"/>
      <c r="E17" s="122">
        <v>45991</v>
      </c>
      <c r="F17" s="94" t="s">
        <v>136</v>
      </c>
      <c r="G17" s="125">
        <v>2</v>
      </c>
      <c r="H17" s="126">
        <v>4</v>
      </c>
      <c r="I17" s="126">
        <f t="shared" si="0"/>
        <v>8</v>
      </c>
    </row>
    <row r="18" spans="1:9" x14ac:dyDescent="0.25">
      <c r="E18" s="122">
        <v>45993</v>
      </c>
      <c r="F18" s="94" t="s">
        <v>132</v>
      </c>
      <c r="G18" s="125">
        <v>3</v>
      </c>
      <c r="H18" s="126">
        <v>3</v>
      </c>
      <c r="I18" s="126">
        <f t="shared" si="0"/>
        <v>9</v>
      </c>
    </row>
    <row r="19" spans="1:9" x14ac:dyDescent="0.25">
      <c r="E19" s="122">
        <v>45993</v>
      </c>
      <c r="F19" s="94" t="s">
        <v>261</v>
      </c>
      <c r="G19" s="125">
        <v>3</v>
      </c>
      <c r="H19" s="126">
        <v>1.5</v>
      </c>
      <c r="I19" s="126">
        <f t="shared" si="0"/>
        <v>4.5</v>
      </c>
    </row>
    <row r="20" spans="1:9" x14ac:dyDescent="0.25">
      <c r="E20" s="122">
        <v>45993</v>
      </c>
      <c r="F20" s="94" t="s">
        <v>262</v>
      </c>
      <c r="G20" s="125">
        <v>20</v>
      </c>
      <c r="H20" s="126">
        <v>2</v>
      </c>
      <c r="I20" s="126">
        <f>G20*H20</f>
        <v>40</v>
      </c>
    </row>
    <row r="21" spans="1:9" x14ac:dyDescent="0.25">
      <c r="E21" s="122">
        <v>45993</v>
      </c>
      <c r="F21" s="94" t="s">
        <v>263</v>
      </c>
      <c r="G21" s="125">
        <v>1</v>
      </c>
      <c r="H21" s="126">
        <v>13</v>
      </c>
      <c r="I21" s="126">
        <f>G21*H21</f>
        <v>13</v>
      </c>
    </row>
    <row r="22" spans="1:9" x14ac:dyDescent="0.25">
      <c r="E22" s="122">
        <v>45993</v>
      </c>
      <c r="F22" s="94" t="s">
        <v>264</v>
      </c>
      <c r="G22" s="125">
        <v>1</v>
      </c>
      <c r="H22" s="126">
        <v>18</v>
      </c>
      <c r="I22" s="126">
        <f>G22*H22</f>
        <v>18</v>
      </c>
    </row>
    <row r="23" spans="1:9" x14ac:dyDescent="0.25">
      <c r="E23" s="99"/>
      <c r="F23" s="100"/>
      <c r="G23" s="100"/>
      <c r="H23" s="123"/>
      <c r="I23" s="123"/>
    </row>
    <row r="24" spans="1:9" x14ac:dyDescent="0.25">
      <c r="E24" s="99"/>
      <c r="F24" s="100"/>
      <c r="G24" s="100"/>
      <c r="H24" s="123"/>
      <c r="I24" s="123"/>
    </row>
    <row r="27" spans="1:9" ht="21.2" x14ac:dyDescent="0.35">
      <c r="E27" s="193"/>
      <c r="F27" s="193" t="s">
        <v>97</v>
      </c>
      <c r="G27" s="193"/>
      <c r="H27" s="193"/>
      <c r="I27" s="194">
        <f>SUM(I4:I26)</f>
        <v>1972</v>
      </c>
    </row>
    <row r="28" spans="1:9" ht="21.2" x14ac:dyDescent="0.35">
      <c r="E28" s="193"/>
      <c r="F28" s="193" t="s">
        <v>265</v>
      </c>
      <c r="G28" s="193" t="s">
        <v>332</v>
      </c>
      <c r="H28" s="193" t="s">
        <v>120</v>
      </c>
      <c r="I28" s="193"/>
    </row>
    <row r="29" spans="1:9" ht="21.2" x14ac:dyDescent="0.35">
      <c r="E29" s="193"/>
      <c r="F29" s="193"/>
      <c r="G29" s="195">
        <v>1048</v>
      </c>
      <c r="H29" s="194">
        <f>I27-G29</f>
        <v>924</v>
      </c>
      <c r="I29" s="193"/>
    </row>
    <row r="30" spans="1:9" ht="21.2" x14ac:dyDescent="0.35">
      <c r="E30" s="193"/>
      <c r="F30" s="193"/>
      <c r="G30" s="193"/>
      <c r="H30" s="193"/>
      <c r="I30" s="193"/>
    </row>
  </sheetData>
  <mergeCells count="1">
    <mergeCell ref="E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P26"/>
  <sheetViews>
    <sheetView workbookViewId="0">
      <selection activeCell="N24" sqref="N24"/>
    </sheetView>
  </sheetViews>
  <sheetFormatPr defaultRowHeight="14.85" x14ac:dyDescent="0.25"/>
  <cols>
    <col min="1" max="1" width="11.875" bestFit="1" customWidth="1"/>
    <col min="2" max="2" width="14.125" bestFit="1" customWidth="1"/>
    <col min="3" max="3" width="6.375" bestFit="1" customWidth="1"/>
    <col min="4" max="4" width="9.125" bestFit="1" customWidth="1"/>
    <col min="5" max="5" width="13.75" bestFit="1" customWidth="1"/>
    <col min="6" max="6" width="8.125" bestFit="1" customWidth="1"/>
    <col min="7" max="7" width="16" bestFit="1" customWidth="1"/>
    <col min="10" max="10" width="11.875" bestFit="1" customWidth="1"/>
    <col min="11" max="11" width="14.125" bestFit="1" customWidth="1"/>
    <col min="12" max="12" width="6.375" bestFit="1" customWidth="1"/>
    <col min="13" max="13" width="9.125" bestFit="1" customWidth="1"/>
    <col min="14" max="14" width="13.75" bestFit="1" customWidth="1"/>
    <col min="15" max="15" width="8.125" bestFit="1" customWidth="1"/>
    <col min="16" max="16" width="13.625" bestFit="1" customWidth="1"/>
  </cols>
  <sheetData>
    <row r="1" spans="1:16" ht="28.25" x14ac:dyDescent="0.45">
      <c r="A1" s="129" t="s">
        <v>3</v>
      </c>
      <c r="B1" s="129" t="s">
        <v>232</v>
      </c>
      <c r="C1" s="129" t="s">
        <v>5</v>
      </c>
      <c r="D1" s="130" t="s">
        <v>6</v>
      </c>
      <c r="E1" s="130" t="s">
        <v>7</v>
      </c>
      <c r="F1" s="130" t="s">
        <v>267</v>
      </c>
      <c r="G1" s="131" t="s">
        <v>7</v>
      </c>
      <c r="J1" s="129" t="s">
        <v>3</v>
      </c>
      <c r="K1" s="129" t="s">
        <v>232</v>
      </c>
      <c r="L1" s="129" t="s">
        <v>5</v>
      </c>
      <c r="M1" s="130" t="s">
        <v>6</v>
      </c>
      <c r="N1" s="130" t="s">
        <v>7</v>
      </c>
      <c r="O1" s="130" t="s">
        <v>267</v>
      </c>
      <c r="P1" s="130" t="s">
        <v>276</v>
      </c>
    </row>
    <row r="2" spans="1:16" ht="16.25" x14ac:dyDescent="0.3">
      <c r="A2" s="132">
        <v>45983</v>
      </c>
      <c r="B2" s="52" t="s">
        <v>268</v>
      </c>
      <c r="C2" s="52">
        <v>70</v>
      </c>
      <c r="D2" s="133">
        <v>2.8</v>
      </c>
      <c r="E2" s="133">
        <f>C2*D2</f>
        <v>196</v>
      </c>
      <c r="F2" s="3"/>
      <c r="G2" s="134"/>
      <c r="J2" s="132">
        <v>45983</v>
      </c>
      <c r="K2" s="52" t="s">
        <v>268</v>
      </c>
      <c r="L2" s="52">
        <v>70</v>
      </c>
      <c r="M2" s="133">
        <v>2.8</v>
      </c>
      <c r="N2" s="133">
        <f>L2*M2</f>
        <v>196</v>
      </c>
      <c r="O2" s="137">
        <v>700</v>
      </c>
      <c r="P2" s="137">
        <f>N24-O2</f>
        <v>1454.5</v>
      </c>
    </row>
    <row r="3" spans="1:16" ht="16.25" x14ac:dyDescent="0.3">
      <c r="A3" s="132">
        <v>45983</v>
      </c>
      <c r="B3" s="52" t="s">
        <v>158</v>
      </c>
      <c r="C3" s="52">
        <v>50</v>
      </c>
      <c r="D3" s="133">
        <v>4.2</v>
      </c>
      <c r="E3" s="133">
        <f t="shared" ref="E3:E14" si="0">C3*D3</f>
        <v>210</v>
      </c>
      <c r="F3" s="3"/>
      <c r="G3" s="51"/>
      <c r="J3" s="132">
        <v>45983</v>
      </c>
      <c r="K3" s="52" t="s">
        <v>158</v>
      </c>
      <c r="L3" s="52">
        <v>50</v>
      </c>
      <c r="M3" s="133">
        <v>4.2</v>
      </c>
      <c r="N3" s="133">
        <f t="shared" ref="N3:N19" si="1">L3*M3</f>
        <v>210</v>
      </c>
      <c r="O3" s="3"/>
      <c r="P3" s="3"/>
    </row>
    <row r="4" spans="1:16" ht="16.25" x14ac:dyDescent="0.3">
      <c r="A4" s="132">
        <v>45983</v>
      </c>
      <c r="B4" s="52" t="s">
        <v>269</v>
      </c>
      <c r="C4" s="52">
        <v>50</v>
      </c>
      <c r="D4" s="133">
        <v>6</v>
      </c>
      <c r="E4" s="133">
        <f t="shared" si="0"/>
        <v>300</v>
      </c>
      <c r="F4" s="3"/>
      <c r="G4" s="51"/>
      <c r="J4" s="132">
        <v>45983</v>
      </c>
      <c r="K4" s="52" t="s">
        <v>269</v>
      </c>
      <c r="L4" s="52">
        <v>50</v>
      </c>
      <c r="M4" s="133">
        <v>6</v>
      </c>
      <c r="N4" s="133">
        <f t="shared" si="1"/>
        <v>300</v>
      </c>
      <c r="O4" s="3"/>
      <c r="P4" s="3"/>
    </row>
    <row r="5" spans="1:16" ht="16.25" x14ac:dyDescent="0.3">
      <c r="A5" s="132">
        <v>45983</v>
      </c>
      <c r="B5" s="52" t="s">
        <v>270</v>
      </c>
      <c r="C5" s="52">
        <v>19</v>
      </c>
      <c r="D5" s="133">
        <v>20</v>
      </c>
      <c r="E5" s="133">
        <f t="shared" si="0"/>
        <v>380</v>
      </c>
      <c r="F5" s="3"/>
      <c r="G5" s="51"/>
      <c r="J5" s="132">
        <v>45983</v>
      </c>
      <c r="K5" s="52" t="s">
        <v>270</v>
      </c>
      <c r="L5" s="52">
        <v>19</v>
      </c>
      <c r="M5" s="133">
        <v>20</v>
      </c>
      <c r="N5" s="133">
        <f t="shared" si="1"/>
        <v>380</v>
      </c>
      <c r="O5" s="3"/>
      <c r="P5" s="3"/>
    </row>
    <row r="6" spans="1:16" ht="16.25" x14ac:dyDescent="0.3">
      <c r="A6" s="132">
        <v>45983</v>
      </c>
      <c r="B6" s="52" t="s">
        <v>63</v>
      </c>
      <c r="C6" s="52">
        <v>30</v>
      </c>
      <c r="D6" s="133">
        <v>7</v>
      </c>
      <c r="E6" s="133">
        <f t="shared" si="0"/>
        <v>210</v>
      </c>
      <c r="F6" s="3"/>
      <c r="G6" s="51"/>
      <c r="J6" s="132">
        <v>45983</v>
      </c>
      <c r="K6" s="52" t="s">
        <v>63</v>
      </c>
      <c r="L6" s="52">
        <v>30</v>
      </c>
      <c r="M6" s="133">
        <v>7</v>
      </c>
      <c r="N6" s="133">
        <f t="shared" si="1"/>
        <v>210</v>
      </c>
      <c r="O6" s="3"/>
      <c r="P6" s="3"/>
    </row>
    <row r="7" spans="1:16" ht="16.25" x14ac:dyDescent="0.3">
      <c r="A7" s="132">
        <v>45983</v>
      </c>
      <c r="B7" s="52" t="s">
        <v>64</v>
      </c>
      <c r="C7" s="52">
        <v>4</v>
      </c>
      <c r="D7" s="133">
        <v>13</v>
      </c>
      <c r="E7" s="133">
        <f t="shared" si="0"/>
        <v>52</v>
      </c>
      <c r="F7" s="3"/>
      <c r="G7" s="51"/>
      <c r="J7" s="132">
        <v>45983</v>
      </c>
      <c r="K7" s="52" t="s">
        <v>64</v>
      </c>
      <c r="L7" s="52">
        <v>4</v>
      </c>
      <c r="M7" s="133">
        <v>13</v>
      </c>
      <c r="N7" s="133">
        <f t="shared" si="1"/>
        <v>52</v>
      </c>
      <c r="O7" s="3"/>
      <c r="P7" s="3"/>
    </row>
    <row r="8" spans="1:16" ht="16.25" x14ac:dyDescent="0.3">
      <c r="A8" s="132">
        <v>45983</v>
      </c>
      <c r="B8" s="52" t="s">
        <v>271</v>
      </c>
      <c r="C8" s="52">
        <v>20</v>
      </c>
      <c r="D8" s="133">
        <v>4.5</v>
      </c>
      <c r="E8" s="133">
        <f t="shared" si="0"/>
        <v>90</v>
      </c>
      <c r="F8" s="3"/>
      <c r="G8" s="51"/>
      <c r="J8" s="132">
        <v>45983</v>
      </c>
      <c r="K8" s="52" t="s">
        <v>271</v>
      </c>
      <c r="L8" s="52">
        <v>20</v>
      </c>
      <c r="M8" s="133">
        <v>4.5</v>
      </c>
      <c r="N8" s="133">
        <f t="shared" si="1"/>
        <v>90</v>
      </c>
      <c r="O8" s="3"/>
      <c r="P8" s="3"/>
    </row>
    <row r="9" spans="1:16" ht="16.25" x14ac:dyDescent="0.3">
      <c r="A9" s="132">
        <v>45983</v>
      </c>
      <c r="B9" s="52" t="s">
        <v>104</v>
      </c>
      <c r="C9" s="52">
        <v>8</v>
      </c>
      <c r="D9" s="133">
        <v>0.5</v>
      </c>
      <c r="E9" s="133">
        <f t="shared" si="0"/>
        <v>4</v>
      </c>
      <c r="F9" s="3"/>
      <c r="G9" s="51"/>
      <c r="J9" s="132">
        <v>45983</v>
      </c>
      <c r="K9" s="52" t="s">
        <v>104</v>
      </c>
      <c r="L9" s="52">
        <v>8</v>
      </c>
      <c r="M9" s="133">
        <v>0.5</v>
      </c>
      <c r="N9" s="133">
        <f t="shared" si="1"/>
        <v>4</v>
      </c>
      <c r="O9" s="3"/>
      <c r="P9" s="3"/>
    </row>
    <row r="10" spans="1:16" ht="16.25" x14ac:dyDescent="0.3">
      <c r="A10" s="132">
        <v>45983</v>
      </c>
      <c r="B10" s="52" t="s">
        <v>272</v>
      </c>
      <c r="C10" s="52">
        <v>4</v>
      </c>
      <c r="D10" s="133">
        <v>5</v>
      </c>
      <c r="E10" s="133">
        <f t="shared" si="0"/>
        <v>20</v>
      </c>
      <c r="F10" s="3"/>
      <c r="G10" s="51"/>
      <c r="J10" s="132">
        <v>45983</v>
      </c>
      <c r="K10" s="138" t="s">
        <v>277</v>
      </c>
      <c r="L10" s="52">
        <v>1</v>
      </c>
      <c r="M10" s="133">
        <v>100</v>
      </c>
      <c r="N10" s="139">
        <f t="shared" si="1"/>
        <v>100</v>
      </c>
      <c r="O10" s="3"/>
      <c r="P10" s="3"/>
    </row>
    <row r="11" spans="1:16" ht="16.25" x14ac:dyDescent="0.3">
      <c r="A11" s="132">
        <v>45984</v>
      </c>
      <c r="B11" s="52" t="s">
        <v>273</v>
      </c>
      <c r="C11" s="52">
        <v>22</v>
      </c>
      <c r="D11" s="133">
        <v>0.5</v>
      </c>
      <c r="E11" s="133">
        <f t="shared" si="0"/>
        <v>11</v>
      </c>
      <c r="F11" s="3"/>
      <c r="G11" s="51"/>
      <c r="J11" s="132">
        <v>45983</v>
      </c>
      <c r="K11" s="138" t="s">
        <v>278</v>
      </c>
      <c r="L11" s="52">
        <v>2</v>
      </c>
      <c r="M11" s="133">
        <v>17</v>
      </c>
      <c r="N11" s="139">
        <f t="shared" si="1"/>
        <v>34</v>
      </c>
      <c r="O11" s="3"/>
      <c r="P11" s="3"/>
    </row>
    <row r="12" spans="1:16" ht="16.25" x14ac:dyDescent="0.3">
      <c r="A12" s="2">
        <v>45984</v>
      </c>
      <c r="B12" s="52" t="s">
        <v>274</v>
      </c>
      <c r="C12" s="52">
        <v>14</v>
      </c>
      <c r="D12" s="3">
        <v>1</v>
      </c>
      <c r="E12" s="133">
        <f t="shared" si="0"/>
        <v>14</v>
      </c>
      <c r="F12" s="3"/>
      <c r="G12" s="51"/>
      <c r="J12" s="132">
        <v>45983</v>
      </c>
      <c r="K12" s="52" t="s">
        <v>272</v>
      </c>
      <c r="L12" s="52">
        <v>4</v>
      </c>
      <c r="M12" s="133">
        <v>5</v>
      </c>
      <c r="N12" s="133">
        <f t="shared" si="1"/>
        <v>20</v>
      </c>
      <c r="O12" s="3"/>
      <c r="P12" s="3"/>
    </row>
    <row r="13" spans="1:16" ht="16.25" x14ac:dyDescent="0.3">
      <c r="A13" s="2">
        <v>45984</v>
      </c>
      <c r="B13" s="52" t="s">
        <v>275</v>
      </c>
      <c r="C13" s="52">
        <v>4</v>
      </c>
      <c r="D13" s="3">
        <v>0.5</v>
      </c>
      <c r="E13" s="133">
        <f t="shared" si="0"/>
        <v>2</v>
      </c>
      <c r="F13" s="3"/>
      <c r="G13" s="51"/>
      <c r="J13" s="132">
        <v>45983</v>
      </c>
      <c r="K13" s="138" t="s">
        <v>176</v>
      </c>
      <c r="L13" s="52">
        <v>1</v>
      </c>
      <c r="M13" s="133">
        <v>27</v>
      </c>
      <c r="N13" s="139">
        <f>L13*M13</f>
        <v>27</v>
      </c>
      <c r="O13" s="3"/>
      <c r="P13" s="3"/>
    </row>
    <row r="14" spans="1:16" ht="16.25" x14ac:dyDescent="0.3">
      <c r="A14" s="2">
        <v>45984</v>
      </c>
      <c r="B14" s="52" t="s">
        <v>133</v>
      </c>
      <c r="C14" s="52">
        <v>2</v>
      </c>
      <c r="D14" s="3">
        <v>1.5</v>
      </c>
      <c r="E14" s="133">
        <f t="shared" si="0"/>
        <v>3</v>
      </c>
      <c r="F14" s="3"/>
      <c r="G14" s="51"/>
      <c r="J14" s="132">
        <v>45983</v>
      </c>
      <c r="K14" s="138" t="s">
        <v>266</v>
      </c>
      <c r="L14" s="52">
        <v>1</v>
      </c>
      <c r="M14" s="133">
        <v>50</v>
      </c>
      <c r="N14" s="139">
        <f t="shared" si="1"/>
        <v>50</v>
      </c>
      <c r="O14" s="3"/>
      <c r="P14" s="3"/>
    </row>
    <row r="15" spans="1:16" ht="16.25" x14ac:dyDescent="0.3">
      <c r="A15" s="127"/>
      <c r="B15" s="127" t="s">
        <v>97</v>
      </c>
      <c r="C15" s="127"/>
      <c r="D15" s="127"/>
      <c r="E15" s="128">
        <f>SUM(E2:E14)</f>
        <v>1492</v>
      </c>
      <c r="F15" s="135">
        <v>38</v>
      </c>
      <c r="G15" s="136">
        <f>E15-F15</f>
        <v>1454</v>
      </c>
      <c r="J15" s="132">
        <v>45983</v>
      </c>
      <c r="K15" s="138" t="s">
        <v>279</v>
      </c>
      <c r="L15" s="52">
        <v>1</v>
      </c>
      <c r="M15" s="133">
        <v>30</v>
      </c>
      <c r="N15" s="139">
        <f t="shared" si="1"/>
        <v>30</v>
      </c>
      <c r="O15" s="3"/>
      <c r="P15" s="3"/>
    </row>
    <row r="16" spans="1:16" ht="16.25" x14ac:dyDescent="0.3">
      <c r="J16" s="132">
        <v>45984</v>
      </c>
      <c r="K16" s="52" t="s">
        <v>273</v>
      </c>
      <c r="L16" s="52">
        <v>22</v>
      </c>
      <c r="M16" s="133">
        <v>0.5</v>
      </c>
      <c r="N16" s="133">
        <f t="shared" si="1"/>
        <v>11</v>
      </c>
      <c r="O16" s="3"/>
      <c r="P16" s="3"/>
    </row>
    <row r="17" spans="2:16" ht="16.25" x14ac:dyDescent="0.3">
      <c r="B17" s="219" t="s">
        <v>283</v>
      </c>
      <c r="C17" s="219"/>
      <c r="D17" s="219"/>
      <c r="E17" s="219"/>
      <c r="J17" s="2">
        <v>45984</v>
      </c>
      <c r="K17" s="140" t="s">
        <v>274</v>
      </c>
      <c r="L17" s="52">
        <v>14</v>
      </c>
      <c r="M17" s="3">
        <v>1</v>
      </c>
      <c r="N17" s="133">
        <f t="shared" si="1"/>
        <v>14</v>
      </c>
      <c r="O17" s="3"/>
      <c r="P17" s="3"/>
    </row>
    <row r="18" spans="2:16" ht="16.25" x14ac:dyDescent="0.3">
      <c r="J18" s="2">
        <v>45984</v>
      </c>
      <c r="K18" s="52" t="s">
        <v>275</v>
      </c>
      <c r="L18" s="52">
        <v>4</v>
      </c>
      <c r="M18" s="3">
        <v>0.5</v>
      </c>
      <c r="N18" s="133">
        <f t="shared" si="1"/>
        <v>2</v>
      </c>
      <c r="O18" s="3"/>
      <c r="P18" s="3"/>
    </row>
    <row r="19" spans="2:16" ht="16.25" x14ac:dyDescent="0.3">
      <c r="J19" s="2">
        <v>45984</v>
      </c>
      <c r="K19" s="52" t="s">
        <v>133</v>
      </c>
      <c r="L19" s="52">
        <v>2</v>
      </c>
      <c r="M19" s="3">
        <v>1.5</v>
      </c>
      <c r="N19" s="133">
        <f t="shared" si="1"/>
        <v>3</v>
      </c>
      <c r="O19" s="3"/>
      <c r="P19" s="3"/>
    </row>
    <row r="20" spans="2:16" ht="16.25" x14ac:dyDescent="0.3">
      <c r="J20" s="2">
        <v>45984</v>
      </c>
      <c r="K20" s="138" t="s">
        <v>280</v>
      </c>
      <c r="M20" s="3">
        <v>350</v>
      </c>
      <c r="N20" s="141">
        <v>350</v>
      </c>
      <c r="O20" s="3"/>
      <c r="P20" s="3"/>
    </row>
    <row r="21" spans="2:16" ht="16.25" x14ac:dyDescent="0.3">
      <c r="J21" s="2">
        <v>45984</v>
      </c>
      <c r="K21" s="138" t="s">
        <v>281</v>
      </c>
      <c r="M21" s="3">
        <v>13</v>
      </c>
      <c r="N21" s="141">
        <v>13</v>
      </c>
      <c r="O21" s="3"/>
      <c r="P21" s="3"/>
    </row>
    <row r="22" spans="2:16" ht="16.25" x14ac:dyDescent="0.3">
      <c r="J22" s="2">
        <v>45987</v>
      </c>
      <c r="K22" s="138" t="s">
        <v>270</v>
      </c>
      <c r="L22" s="52">
        <v>3</v>
      </c>
      <c r="M22" s="3">
        <v>19.5</v>
      </c>
      <c r="N22" s="141">
        <f>L22*M22</f>
        <v>58.5</v>
      </c>
      <c r="O22" s="3"/>
      <c r="P22" s="3"/>
    </row>
    <row r="23" spans="2:16" x14ac:dyDescent="0.25">
      <c r="M23" s="3"/>
      <c r="N23" s="3"/>
      <c r="O23" s="3"/>
      <c r="P23" s="3"/>
    </row>
    <row r="24" spans="2:16" x14ac:dyDescent="0.25">
      <c r="J24" s="127"/>
      <c r="K24" s="127" t="s">
        <v>97</v>
      </c>
      <c r="L24" s="127"/>
      <c r="M24" s="128"/>
      <c r="N24" s="128">
        <f>SUM(N2:N23)</f>
        <v>2154.5</v>
      </c>
      <c r="O24" s="3" t="s">
        <v>267</v>
      </c>
      <c r="P24" s="3" t="s">
        <v>276</v>
      </c>
    </row>
    <row r="25" spans="2:16" x14ac:dyDescent="0.25">
      <c r="J25" s="219" t="s">
        <v>282</v>
      </c>
      <c r="K25" s="219"/>
    </row>
    <row r="26" spans="2:16" x14ac:dyDescent="0.25">
      <c r="J26" s="219"/>
      <c r="K26" s="219"/>
    </row>
  </sheetData>
  <mergeCells count="2">
    <mergeCell ref="J25:K26"/>
    <mergeCell ref="B17:E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G7"/>
  <sheetViews>
    <sheetView workbookViewId="0">
      <selection activeCell="E8" sqref="E8"/>
    </sheetView>
  </sheetViews>
  <sheetFormatPr defaultRowHeight="14.85" x14ac:dyDescent="0.25"/>
  <cols>
    <col min="1" max="1" width="10.375" customWidth="1"/>
    <col min="2" max="2" width="13.875" customWidth="1"/>
    <col min="3" max="3" width="10.375" style="49" customWidth="1"/>
    <col min="4" max="5" width="10.375" style="51" customWidth="1"/>
    <col min="6" max="7" width="10.375" customWidth="1"/>
  </cols>
  <sheetData>
    <row r="1" spans="1:7" x14ac:dyDescent="0.25">
      <c r="A1" t="s">
        <v>3</v>
      </c>
      <c r="B1" t="s">
        <v>4</v>
      </c>
      <c r="C1" s="49" t="s">
        <v>5</v>
      </c>
      <c r="D1" s="51" t="s">
        <v>134</v>
      </c>
      <c r="E1" s="51" t="s">
        <v>7</v>
      </c>
      <c r="F1" t="s">
        <v>0</v>
      </c>
      <c r="G1" t="s">
        <v>1</v>
      </c>
    </row>
    <row r="2" spans="1:7" x14ac:dyDescent="0.25">
      <c r="A2" s="2">
        <v>45971</v>
      </c>
      <c r="B2" t="s">
        <v>135</v>
      </c>
      <c r="C2" s="49">
        <v>1</v>
      </c>
      <c r="D2" s="51">
        <v>3</v>
      </c>
      <c r="E2" s="51">
        <f>Table8[[#This Row],[qty]]*Table8[[#This Row],[prie]]</f>
        <v>3</v>
      </c>
    </row>
    <row r="3" spans="1:7" x14ac:dyDescent="0.25">
      <c r="A3" s="2">
        <v>45971</v>
      </c>
      <c r="B3" t="s">
        <v>136</v>
      </c>
      <c r="C3" s="49">
        <v>1</v>
      </c>
      <c r="D3" s="51">
        <v>4</v>
      </c>
      <c r="E3" s="51">
        <f>Table8[[#This Row],[qty]]*Table8[[#This Row],[prie]]</f>
        <v>4</v>
      </c>
    </row>
    <row r="4" spans="1:7" x14ac:dyDescent="0.25">
      <c r="A4" s="2">
        <v>45971</v>
      </c>
      <c r="B4" t="s">
        <v>137</v>
      </c>
      <c r="C4" s="49">
        <v>1</v>
      </c>
      <c r="D4" s="51">
        <v>3</v>
      </c>
      <c r="E4" s="51">
        <f>Table8[[#This Row],[qty]]*Table8[[#This Row],[prie]]</f>
        <v>3</v>
      </c>
    </row>
    <row r="5" spans="1:7" x14ac:dyDescent="0.25">
      <c r="A5" s="2">
        <v>45971</v>
      </c>
      <c r="B5" t="s">
        <v>138</v>
      </c>
      <c r="C5" s="49">
        <v>3</v>
      </c>
      <c r="D5" s="51">
        <v>1.5</v>
      </c>
      <c r="E5" s="51">
        <f>Table8[[#This Row],[qty]]*Table8[[#This Row],[prie]]</f>
        <v>4.5</v>
      </c>
    </row>
    <row r="6" spans="1:7" x14ac:dyDescent="0.25">
      <c r="A6" s="2">
        <v>45971</v>
      </c>
      <c r="B6" t="s">
        <v>139</v>
      </c>
      <c r="C6" s="49">
        <v>1</v>
      </c>
      <c r="D6" s="51">
        <v>14</v>
      </c>
      <c r="E6" s="51">
        <f>Table8[[#This Row],[qty]]*Table8[[#This Row],[prie]]</f>
        <v>14</v>
      </c>
    </row>
    <row r="7" spans="1:7" x14ac:dyDescent="0.25">
      <c r="D7" s="51" t="s">
        <v>140</v>
      </c>
      <c r="E7" s="51">
        <f>SUBTOTAL(109,Table8[amount])</f>
        <v>28.5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109"/>
  <sheetViews>
    <sheetView topLeftCell="A91" workbookViewId="0">
      <selection activeCell="H109" sqref="H109"/>
    </sheetView>
  </sheetViews>
  <sheetFormatPr defaultRowHeight="14.85" x14ac:dyDescent="0.25"/>
  <cols>
    <col min="1" max="1" width="10.125" bestFit="1" customWidth="1"/>
    <col min="2" max="2" width="27.5" bestFit="1" customWidth="1"/>
    <col min="3" max="3" width="12" bestFit="1" customWidth="1"/>
    <col min="4" max="5" width="10.25" bestFit="1" customWidth="1"/>
    <col min="6" max="6" width="13.25" bestFit="1" customWidth="1"/>
    <col min="7" max="7" width="9.75" customWidth="1"/>
    <col min="8" max="8" width="14.375" customWidth="1"/>
    <col min="9" max="9" width="7.375" bestFit="1" customWidth="1"/>
  </cols>
  <sheetData>
    <row r="1" spans="1:9" ht="15.55" x14ac:dyDescent="0.25">
      <c r="A1" s="54" t="s">
        <v>3</v>
      </c>
      <c r="B1" s="54" t="s">
        <v>4</v>
      </c>
      <c r="C1" s="54" t="s">
        <v>5</v>
      </c>
      <c r="D1" s="55" t="s">
        <v>6</v>
      </c>
      <c r="E1" s="55" t="s">
        <v>7</v>
      </c>
      <c r="F1" s="56"/>
      <c r="G1" s="56"/>
      <c r="I1" s="3"/>
    </row>
    <row r="2" spans="1:9" ht="15.55" x14ac:dyDescent="0.25">
      <c r="A2" s="57">
        <v>45990</v>
      </c>
      <c r="B2" s="58" t="s">
        <v>141</v>
      </c>
      <c r="C2" s="59">
        <v>4</v>
      </c>
      <c r="D2" s="60">
        <v>2.5</v>
      </c>
      <c r="E2" s="60">
        <f>C2*D2</f>
        <v>10</v>
      </c>
      <c r="F2" s="56"/>
      <c r="G2" s="61"/>
      <c r="H2" s="62"/>
      <c r="I2" s="63"/>
    </row>
    <row r="3" spans="1:9" ht="15.55" x14ac:dyDescent="0.25">
      <c r="A3" s="57">
        <v>45990</v>
      </c>
      <c r="B3" s="58" t="s">
        <v>142</v>
      </c>
      <c r="C3" s="59">
        <v>4</v>
      </c>
      <c r="D3" s="60">
        <v>2</v>
      </c>
      <c r="E3" s="60">
        <f t="shared" ref="E3:E42" si="0">C3*D3</f>
        <v>8</v>
      </c>
      <c r="F3" s="56"/>
      <c r="G3" s="61"/>
      <c r="H3" s="62"/>
      <c r="I3" s="63"/>
    </row>
    <row r="4" spans="1:9" ht="15.55" x14ac:dyDescent="0.25">
      <c r="A4" s="57">
        <v>45990</v>
      </c>
      <c r="B4" s="58" t="s">
        <v>143</v>
      </c>
      <c r="C4" s="59">
        <v>3</v>
      </c>
      <c r="D4" s="60">
        <v>1.5</v>
      </c>
      <c r="E4" s="60">
        <f t="shared" si="0"/>
        <v>4.5</v>
      </c>
      <c r="F4" s="56"/>
      <c r="G4" s="61"/>
      <c r="H4" s="62"/>
      <c r="I4" s="63"/>
    </row>
    <row r="5" spans="1:9" ht="15.55" x14ac:dyDescent="0.25">
      <c r="A5" s="57">
        <v>45990</v>
      </c>
      <c r="B5" s="58" t="s">
        <v>144</v>
      </c>
      <c r="C5" s="59">
        <v>6</v>
      </c>
      <c r="D5" s="60">
        <v>1</v>
      </c>
      <c r="E5" s="60">
        <f t="shared" si="0"/>
        <v>6</v>
      </c>
      <c r="F5" s="56"/>
      <c r="G5" s="61"/>
      <c r="H5" s="62"/>
      <c r="I5" s="63"/>
    </row>
    <row r="6" spans="1:9" ht="15.55" x14ac:dyDescent="0.25">
      <c r="A6" s="57">
        <v>45990</v>
      </c>
      <c r="B6" s="58" t="s">
        <v>145</v>
      </c>
      <c r="C6" s="59">
        <v>1</v>
      </c>
      <c r="D6" s="60">
        <v>6</v>
      </c>
      <c r="E6" s="60">
        <f t="shared" si="0"/>
        <v>6</v>
      </c>
      <c r="F6" s="56"/>
      <c r="G6" s="61"/>
      <c r="H6" s="62"/>
      <c r="I6" s="63"/>
    </row>
    <row r="7" spans="1:9" ht="15.55" x14ac:dyDescent="0.25">
      <c r="A7" s="57">
        <v>45990</v>
      </c>
      <c r="B7" s="58" t="s">
        <v>146</v>
      </c>
      <c r="C7" s="59">
        <v>200</v>
      </c>
      <c r="D7" s="60">
        <v>7</v>
      </c>
      <c r="E7" s="60">
        <f t="shared" si="0"/>
        <v>1400</v>
      </c>
      <c r="F7" s="56"/>
      <c r="G7" s="61"/>
      <c r="H7" s="62"/>
      <c r="I7" s="63"/>
    </row>
    <row r="8" spans="1:9" ht="15.55" x14ac:dyDescent="0.25">
      <c r="A8" s="57">
        <v>45990</v>
      </c>
      <c r="B8" s="58" t="s">
        <v>147</v>
      </c>
      <c r="C8" s="59">
        <v>1</v>
      </c>
      <c r="D8" s="60">
        <v>50</v>
      </c>
      <c r="E8" s="60">
        <f t="shared" si="0"/>
        <v>50</v>
      </c>
      <c r="F8" s="56"/>
      <c r="G8" s="61"/>
      <c r="H8" s="62"/>
      <c r="I8" s="63"/>
    </row>
    <row r="9" spans="1:9" ht="15.55" x14ac:dyDescent="0.25">
      <c r="A9" s="57">
        <v>45990</v>
      </c>
      <c r="B9" s="58" t="s">
        <v>148</v>
      </c>
      <c r="C9" s="59">
        <v>8</v>
      </c>
      <c r="D9" s="60">
        <v>60</v>
      </c>
      <c r="E9" s="60">
        <f t="shared" si="0"/>
        <v>480</v>
      </c>
      <c r="F9" s="56"/>
      <c r="G9" s="61"/>
      <c r="H9" s="62"/>
      <c r="I9" s="63"/>
    </row>
    <row r="10" spans="1:9" ht="15.55" x14ac:dyDescent="0.25">
      <c r="A10" s="57">
        <v>45990</v>
      </c>
      <c r="B10" s="58" t="s">
        <v>149</v>
      </c>
      <c r="C10" s="59">
        <v>7</v>
      </c>
      <c r="D10" s="60">
        <v>24</v>
      </c>
      <c r="E10" s="60">
        <f t="shared" si="0"/>
        <v>168</v>
      </c>
      <c r="F10" s="56"/>
      <c r="G10" s="61"/>
      <c r="H10" s="62"/>
      <c r="I10" s="63"/>
    </row>
    <row r="11" spans="1:9" ht="15.55" x14ac:dyDescent="0.25">
      <c r="A11" s="57">
        <v>45990</v>
      </c>
      <c r="B11" s="58" t="s">
        <v>150</v>
      </c>
      <c r="C11" s="59">
        <v>4</v>
      </c>
      <c r="D11" s="60">
        <v>3.5</v>
      </c>
      <c r="E11" s="60">
        <f t="shared" si="0"/>
        <v>14</v>
      </c>
      <c r="F11" s="56"/>
      <c r="G11" s="61"/>
      <c r="H11" s="62"/>
      <c r="I11" s="63"/>
    </row>
    <row r="12" spans="1:9" ht="15.55" x14ac:dyDescent="0.25">
      <c r="A12" s="57">
        <v>45990</v>
      </c>
      <c r="B12" s="58" t="s">
        <v>151</v>
      </c>
      <c r="C12" s="59">
        <v>4</v>
      </c>
      <c r="D12" s="60">
        <v>23.5</v>
      </c>
      <c r="E12" s="60">
        <f t="shared" si="0"/>
        <v>94</v>
      </c>
      <c r="F12" s="56"/>
      <c r="G12" s="61"/>
      <c r="H12" s="62"/>
      <c r="I12" s="63"/>
    </row>
    <row r="13" spans="1:9" ht="15.55" x14ac:dyDescent="0.25">
      <c r="A13" s="57">
        <v>45990</v>
      </c>
      <c r="B13" s="58" t="s">
        <v>152</v>
      </c>
      <c r="C13" s="59">
        <v>10</v>
      </c>
      <c r="D13" s="60">
        <v>0.5</v>
      </c>
      <c r="E13" s="60">
        <f t="shared" si="0"/>
        <v>5</v>
      </c>
      <c r="F13" s="56"/>
      <c r="G13" s="61"/>
      <c r="H13" s="62"/>
      <c r="I13" s="63"/>
    </row>
    <row r="14" spans="1:9" ht="15.55" x14ac:dyDescent="0.25">
      <c r="A14" s="57">
        <v>45990</v>
      </c>
      <c r="B14" s="58" t="s">
        <v>153</v>
      </c>
      <c r="C14" s="59">
        <v>3</v>
      </c>
      <c r="D14" s="60">
        <v>3.5</v>
      </c>
      <c r="E14" s="60">
        <f t="shared" si="0"/>
        <v>10.5</v>
      </c>
      <c r="F14" s="56"/>
      <c r="G14" s="61"/>
      <c r="H14" s="62"/>
      <c r="I14" s="63"/>
    </row>
    <row r="15" spans="1:9" ht="15.55" x14ac:dyDescent="0.25">
      <c r="A15" s="57">
        <v>45990</v>
      </c>
      <c r="B15" s="58" t="s">
        <v>154</v>
      </c>
      <c r="C15" s="59">
        <v>1</v>
      </c>
      <c r="D15" s="60">
        <v>50</v>
      </c>
      <c r="E15" s="60">
        <f t="shared" si="0"/>
        <v>50</v>
      </c>
      <c r="F15" s="56"/>
      <c r="G15" s="61"/>
      <c r="H15" s="62"/>
      <c r="I15" s="63"/>
    </row>
    <row r="16" spans="1:9" ht="15.55" x14ac:dyDescent="0.25">
      <c r="A16" s="57">
        <v>45990</v>
      </c>
      <c r="B16" s="58" t="s">
        <v>155</v>
      </c>
      <c r="C16" s="59">
        <v>3000</v>
      </c>
      <c r="D16" s="60">
        <v>0.45</v>
      </c>
      <c r="E16" s="60">
        <f t="shared" si="0"/>
        <v>1350</v>
      </c>
      <c r="F16" s="56"/>
      <c r="G16" s="61"/>
      <c r="H16" s="62"/>
      <c r="I16" s="63"/>
    </row>
    <row r="17" spans="1:9" ht="15.55" x14ac:dyDescent="0.25">
      <c r="A17" s="57">
        <v>45991</v>
      </c>
      <c r="B17" s="58" t="s">
        <v>156</v>
      </c>
      <c r="C17" s="58">
        <v>2</v>
      </c>
      <c r="D17" s="64">
        <v>18</v>
      </c>
      <c r="E17" s="60">
        <f t="shared" si="0"/>
        <v>36</v>
      </c>
      <c r="F17" s="56"/>
      <c r="G17" s="61"/>
      <c r="H17" s="62"/>
      <c r="I17" s="63"/>
    </row>
    <row r="18" spans="1:9" ht="15.55" x14ac:dyDescent="0.25">
      <c r="A18" s="57">
        <v>45991</v>
      </c>
      <c r="B18" s="58" t="s">
        <v>157</v>
      </c>
      <c r="C18" s="58">
        <v>6</v>
      </c>
      <c r="D18" s="64">
        <v>7.4</v>
      </c>
      <c r="E18" s="60">
        <f t="shared" si="0"/>
        <v>44.400000000000006</v>
      </c>
      <c r="F18" s="56"/>
      <c r="G18" s="61"/>
      <c r="H18" s="62"/>
      <c r="I18" s="63"/>
    </row>
    <row r="19" spans="1:9" ht="15.55" x14ac:dyDescent="0.25">
      <c r="A19" s="57">
        <v>45991</v>
      </c>
      <c r="B19" s="58" t="s">
        <v>158</v>
      </c>
      <c r="C19" s="58">
        <v>30</v>
      </c>
      <c r="D19" s="64">
        <v>4.2</v>
      </c>
      <c r="E19" s="60">
        <f t="shared" si="0"/>
        <v>126</v>
      </c>
      <c r="F19" s="56"/>
      <c r="G19" s="61"/>
      <c r="H19" s="62"/>
      <c r="I19" s="63"/>
    </row>
    <row r="20" spans="1:9" ht="15.55" x14ac:dyDescent="0.25">
      <c r="A20" s="57">
        <v>45991</v>
      </c>
      <c r="B20" s="58" t="s">
        <v>159</v>
      </c>
      <c r="C20" s="58">
        <v>20</v>
      </c>
      <c r="D20" s="64">
        <v>0.25</v>
      </c>
      <c r="E20" s="60">
        <f t="shared" si="0"/>
        <v>5</v>
      </c>
      <c r="F20" s="56"/>
      <c r="G20" s="61"/>
      <c r="H20" s="62"/>
      <c r="I20" s="63"/>
    </row>
    <row r="21" spans="1:9" ht="15.55" x14ac:dyDescent="0.25">
      <c r="A21" s="57">
        <v>45991</v>
      </c>
      <c r="B21" s="58" t="s">
        <v>160</v>
      </c>
      <c r="C21" s="58">
        <v>20</v>
      </c>
      <c r="D21" s="64">
        <v>0.5</v>
      </c>
      <c r="E21" s="60">
        <f t="shared" si="0"/>
        <v>10</v>
      </c>
      <c r="F21" s="56"/>
      <c r="G21" s="61"/>
      <c r="H21" s="62"/>
      <c r="I21" s="63"/>
    </row>
    <row r="22" spans="1:9" ht="15.55" x14ac:dyDescent="0.25">
      <c r="A22" s="57">
        <v>45991</v>
      </c>
      <c r="B22" s="58" t="s">
        <v>161</v>
      </c>
      <c r="C22" s="58">
        <v>7</v>
      </c>
      <c r="D22" s="64">
        <v>2.5</v>
      </c>
      <c r="E22" s="60">
        <f t="shared" si="0"/>
        <v>17.5</v>
      </c>
      <c r="F22" s="56"/>
      <c r="G22" s="61"/>
      <c r="H22" s="62"/>
      <c r="I22" s="63"/>
    </row>
    <row r="23" spans="1:9" ht="15.55" x14ac:dyDescent="0.25">
      <c r="A23" s="57">
        <v>45991</v>
      </c>
      <c r="B23" s="58" t="s">
        <v>162</v>
      </c>
      <c r="C23" s="58">
        <v>15</v>
      </c>
      <c r="D23" s="64">
        <v>6</v>
      </c>
      <c r="E23" s="60">
        <f t="shared" si="0"/>
        <v>90</v>
      </c>
      <c r="F23" s="56"/>
      <c r="G23" s="61"/>
      <c r="H23" s="62"/>
      <c r="I23" s="63"/>
    </row>
    <row r="24" spans="1:9" ht="15.55" x14ac:dyDescent="0.25">
      <c r="A24" s="57">
        <v>45991</v>
      </c>
      <c r="B24" s="58" t="s">
        <v>163</v>
      </c>
      <c r="C24" s="58">
        <v>2</v>
      </c>
      <c r="D24" s="64">
        <v>36</v>
      </c>
      <c r="E24" s="60">
        <f t="shared" si="0"/>
        <v>72</v>
      </c>
      <c r="F24" s="56"/>
      <c r="G24" s="61"/>
      <c r="H24" s="62"/>
      <c r="I24" s="63"/>
    </row>
    <row r="25" spans="1:9" ht="15.55" x14ac:dyDescent="0.25">
      <c r="A25" s="57">
        <v>45991</v>
      </c>
      <c r="B25" s="58" t="s">
        <v>164</v>
      </c>
      <c r="C25" s="58">
        <v>1</v>
      </c>
      <c r="D25" s="64">
        <v>36</v>
      </c>
      <c r="E25" s="60">
        <f t="shared" si="0"/>
        <v>36</v>
      </c>
      <c r="F25" s="56"/>
      <c r="G25" s="61"/>
      <c r="H25" s="62"/>
      <c r="I25" s="63"/>
    </row>
    <row r="26" spans="1:9" ht="15.55" x14ac:dyDescent="0.25">
      <c r="A26" s="57">
        <v>45991</v>
      </c>
      <c r="B26" s="58" t="s">
        <v>165</v>
      </c>
      <c r="C26" s="58">
        <v>1</v>
      </c>
      <c r="D26" s="64">
        <v>8</v>
      </c>
      <c r="E26" s="60">
        <f t="shared" si="0"/>
        <v>8</v>
      </c>
      <c r="F26" s="56"/>
      <c r="G26" s="61"/>
      <c r="H26" s="62"/>
      <c r="I26" s="63"/>
    </row>
    <row r="27" spans="1:9" ht="15.55" x14ac:dyDescent="0.25">
      <c r="A27" s="57">
        <v>45992</v>
      </c>
      <c r="B27" s="58" t="s">
        <v>166</v>
      </c>
      <c r="C27" s="58">
        <v>1</v>
      </c>
      <c r="D27" s="64">
        <v>3</v>
      </c>
      <c r="E27" s="60">
        <f t="shared" si="0"/>
        <v>3</v>
      </c>
      <c r="F27" s="56"/>
      <c r="G27" s="65"/>
      <c r="H27" s="37"/>
      <c r="I27" s="34"/>
    </row>
    <row r="28" spans="1:9" ht="24" x14ac:dyDescent="0.4">
      <c r="A28" s="57">
        <v>45992</v>
      </c>
      <c r="B28" s="58" t="s">
        <v>167</v>
      </c>
      <c r="C28" s="58">
        <v>1</v>
      </c>
      <c r="D28" s="64">
        <v>1</v>
      </c>
      <c r="E28" s="60">
        <f t="shared" si="0"/>
        <v>1</v>
      </c>
      <c r="F28" s="56"/>
      <c r="G28" s="66"/>
      <c r="H28" s="67"/>
      <c r="I28" s="68"/>
    </row>
    <row r="29" spans="1:9" ht="24" x14ac:dyDescent="0.4">
      <c r="A29" s="57">
        <v>45996</v>
      </c>
      <c r="B29" s="58" t="s">
        <v>119</v>
      </c>
      <c r="C29" s="58">
        <v>1</v>
      </c>
      <c r="D29" s="64">
        <v>13</v>
      </c>
      <c r="E29" s="60">
        <f t="shared" si="0"/>
        <v>13</v>
      </c>
      <c r="F29" s="56"/>
      <c r="G29" s="66"/>
      <c r="H29" s="67"/>
      <c r="I29" s="68"/>
    </row>
    <row r="30" spans="1:9" ht="15.55" x14ac:dyDescent="0.25">
      <c r="A30" s="57">
        <v>45996</v>
      </c>
      <c r="B30" s="58" t="s">
        <v>168</v>
      </c>
      <c r="C30" s="58">
        <v>16</v>
      </c>
      <c r="D30" s="64">
        <v>7</v>
      </c>
      <c r="E30" s="60">
        <f t="shared" si="0"/>
        <v>112</v>
      </c>
      <c r="F30" s="56"/>
      <c r="G30" s="56"/>
      <c r="I30" s="3"/>
    </row>
    <row r="31" spans="1:9" ht="15.55" x14ac:dyDescent="0.25">
      <c r="A31" s="57">
        <v>45997</v>
      </c>
      <c r="B31" s="58" t="s">
        <v>169</v>
      </c>
      <c r="C31" s="58">
        <v>28</v>
      </c>
      <c r="D31" s="64">
        <v>5</v>
      </c>
      <c r="E31" s="60">
        <f t="shared" si="0"/>
        <v>140</v>
      </c>
      <c r="F31" s="56"/>
      <c r="G31" s="56"/>
      <c r="I31" s="3"/>
    </row>
    <row r="32" spans="1:9" ht="15.55" x14ac:dyDescent="0.25">
      <c r="A32" s="57">
        <v>45997</v>
      </c>
      <c r="B32" s="58" t="s">
        <v>157</v>
      </c>
      <c r="C32" s="58">
        <v>4</v>
      </c>
      <c r="D32" s="69">
        <v>8</v>
      </c>
      <c r="E32" s="60">
        <f t="shared" si="0"/>
        <v>32</v>
      </c>
      <c r="F32" s="56"/>
      <c r="G32" s="56"/>
      <c r="I32" s="3"/>
    </row>
    <row r="33" spans="1:9" ht="15.55" x14ac:dyDescent="0.25">
      <c r="A33" s="57">
        <v>45997</v>
      </c>
      <c r="B33" s="58" t="s">
        <v>158</v>
      </c>
      <c r="C33" s="58">
        <v>88</v>
      </c>
      <c r="D33" s="69">
        <v>4.3</v>
      </c>
      <c r="E33" s="60">
        <f t="shared" si="0"/>
        <v>378.4</v>
      </c>
      <c r="F33" s="56"/>
      <c r="G33" s="56"/>
      <c r="I33" s="3"/>
    </row>
    <row r="34" spans="1:9" ht="15.55" x14ac:dyDescent="0.25">
      <c r="A34" s="57">
        <v>45997</v>
      </c>
      <c r="B34" s="58" t="s">
        <v>170</v>
      </c>
      <c r="C34" s="70">
        <v>50</v>
      </c>
      <c r="D34" s="71">
        <v>1.8</v>
      </c>
      <c r="E34" s="60">
        <f t="shared" si="0"/>
        <v>90</v>
      </c>
      <c r="F34" s="56"/>
      <c r="G34" s="56"/>
      <c r="I34" s="3"/>
    </row>
    <row r="35" spans="1:9" ht="15.55" x14ac:dyDescent="0.25">
      <c r="A35" s="57">
        <v>45997</v>
      </c>
      <c r="B35" s="58" t="s">
        <v>168</v>
      </c>
      <c r="C35" s="58">
        <v>40</v>
      </c>
      <c r="D35" s="69">
        <v>7</v>
      </c>
      <c r="E35" s="60">
        <f t="shared" si="0"/>
        <v>280</v>
      </c>
      <c r="F35" s="56"/>
      <c r="G35" s="56"/>
      <c r="I35" s="3"/>
    </row>
    <row r="36" spans="1:9" ht="15.55" x14ac:dyDescent="0.25">
      <c r="A36" s="57">
        <v>45997</v>
      </c>
      <c r="B36" s="58" t="s">
        <v>119</v>
      </c>
      <c r="C36" s="58">
        <v>3</v>
      </c>
      <c r="D36" s="69">
        <v>13</v>
      </c>
      <c r="E36" s="60">
        <f t="shared" si="0"/>
        <v>39</v>
      </c>
      <c r="F36" s="56"/>
      <c r="G36" s="56"/>
      <c r="I36" s="3"/>
    </row>
    <row r="37" spans="1:9" ht="15.55" x14ac:dyDescent="0.25">
      <c r="A37" s="57">
        <v>45997</v>
      </c>
      <c r="B37" s="58" t="s">
        <v>171</v>
      </c>
      <c r="C37" s="58">
        <v>65</v>
      </c>
      <c r="D37" s="69">
        <v>6.4</v>
      </c>
      <c r="E37" s="60">
        <f t="shared" si="0"/>
        <v>416</v>
      </c>
      <c r="F37" s="56"/>
      <c r="G37" s="56"/>
      <c r="I37" s="3"/>
    </row>
    <row r="38" spans="1:9" ht="15.55" x14ac:dyDescent="0.25">
      <c r="A38" s="57">
        <v>45997</v>
      </c>
      <c r="B38" s="58" t="s">
        <v>172</v>
      </c>
      <c r="C38" s="58">
        <v>15</v>
      </c>
      <c r="D38" s="69">
        <v>7.5</v>
      </c>
      <c r="E38" s="60">
        <f t="shared" si="0"/>
        <v>112.5</v>
      </c>
      <c r="F38" s="56"/>
      <c r="G38" s="56"/>
      <c r="I38" s="3"/>
    </row>
    <row r="39" spans="1:9" ht="15.55" x14ac:dyDescent="0.25">
      <c r="A39" s="57">
        <v>45997</v>
      </c>
      <c r="B39" s="58" t="s">
        <v>173</v>
      </c>
      <c r="C39" s="58">
        <v>15</v>
      </c>
      <c r="D39" s="69">
        <v>4.5</v>
      </c>
      <c r="E39" s="60">
        <f t="shared" si="0"/>
        <v>67.5</v>
      </c>
      <c r="F39" s="56"/>
      <c r="G39" s="56"/>
      <c r="I39" s="3"/>
    </row>
    <row r="40" spans="1:9" ht="15.55" x14ac:dyDescent="0.25">
      <c r="A40" s="57">
        <v>45997</v>
      </c>
      <c r="B40" s="58" t="s">
        <v>174</v>
      </c>
      <c r="C40" s="72">
        <v>30</v>
      </c>
      <c r="D40" s="69">
        <v>3.5</v>
      </c>
      <c r="E40" s="60">
        <f t="shared" si="0"/>
        <v>105</v>
      </c>
      <c r="F40" s="56"/>
      <c r="G40" s="56"/>
      <c r="I40" s="3"/>
    </row>
    <row r="41" spans="1:9" ht="15.55" x14ac:dyDescent="0.25">
      <c r="A41" s="57">
        <v>45997</v>
      </c>
      <c r="B41" s="58" t="s">
        <v>175</v>
      </c>
      <c r="C41" s="72">
        <v>1</v>
      </c>
      <c r="D41" s="69">
        <v>42.5</v>
      </c>
      <c r="E41" s="60">
        <f t="shared" si="0"/>
        <v>42.5</v>
      </c>
      <c r="F41" s="56"/>
      <c r="G41" s="56"/>
      <c r="I41" s="3"/>
    </row>
    <row r="42" spans="1:9" ht="15.55" x14ac:dyDescent="0.25">
      <c r="A42" s="57">
        <v>45997</v>
      </c>
      <c r="B42" s="58" t="s">
        <v>176</v>
      </c>
      <c r="C42" s="73">
        <v>1</v>
      </c>
      <c r="D42" s="74">
        <v>30</v>
      </c>
      <c r="E42" s="60">
        <f t="shared" si="0"/>
        <v>30</v>
      </c>
      <c r="F42" s="56"/>
      <c r="G42" s="56"/>
      <c r="I42" s="3"/>
    </row>
    <row r="43" spans="1:9" ht="15.55" x14ac:dyDescent="0.25">
      <c r="A43" s="57">
        <f ca="1">A43:E10261/9/2025</f>
        <v>0</v>
      </c>
      <c r="B43" s="58" t="s">
        <v>177</v>
      </c>
      <c r="C43" s="75">
        <v>2</v>
      </c>
      <c r="D43" s="76">
        <v>12</v>
      </c>
      <c r="E43" s="76">
        <f>C43*D43</f>
        <v>24</v>
      </c>
      <c r="F43" s="65"/>
      <c r="G43" s="65"/>
      <c r="I43" s="3"/>
    </row>
    <row r="44" spans="1:9" ht="15.55" x14ac:dyDescent="0.25">
      <c r="A44" s="57">
        <v>46000</v>
      </c>
      <c r="B44" s="58" t="s">
        <v>178</v>
      </c>
      <c r="C44" s="75">
        <v>2</v>
      </c>
      <c r="D44" s="76">
        <v>6.5</v>
      </c>
      <c r="E44" s="76">
        <f t="shared" ref="E44:E93" si="1">C44*D44</f>
        <v>13</v>
      </c>
      <c r="F44" s="77"/>
      <c r="G44" s="77"/>
      <c r="I44" s="3"/>
    </row>
    <row r="45" spans="1:9" ht="15.55" x14ac:dyDescent="0.25">
      <c r="A45" s="57">
        <v>46000</v>
      </c>
      <c r="B45" s="58" t="s">
        <v>179</v>
      </c>
      <c r="C45" s="75">
        <v>14</v>
      </c>
      <c r="D45" s="76">
        <v>0.75</v>
      </c>
      <c r="E45" s="76">
        <f t="shared" si="1"/>
        <v>10.5</v>
      </c>
      <c r="F45" s="77"/>
      <c r="G45" s="77"/>
      <c r="I45" s="3"/>
    </row>
    <row r="46" spans="1:9" ht="15.55" x14ac:dyDescent="0.25">
      <c r="A46" s="57">
        <v>46000</v>
      </c>
      <c r="B46" s="58" t="s">
        <v>180</v>
      </c>
      <c r="C46" s="75">
        <v>4</v>
      </c>
      <c r="D46" s="76">
        <v>1</v>
      </c>
      <c r="E46" s="76">
        <f t="shared" si="1"/>
        <v>4</v>
      </c>
      <c r="F46" s="77"/>
      <c r="G46" s="77"/>
      <c r="I46" s="3"/>
    </row>
    <row r="47" spans="1:9" ht="15.55" x14ac:dyDescent="0.25">
      <c r="A47" s="57">
        <v>46000</v>
      </c>
      <c r="B47" s="58" t="s">
        <v>181</v>
      </c>
      <c r="C47" s="75">
        <v>1</v>
      </c>
      <c r="D47" s="76">
        <v>3.75</v>
      </c>
      <c r="E47" s="76">
        <f t="shared" si="1"/>
        <v>3.75</v>
      </c>
      <c r="F47" s="77"/>
      <c r="G47" s="77"/>
      <c r="I47" s="3"/>
    </row>
    <row r="48" spans="1:9" ht="15.55" x14ac:dyDescent="0.25">
      <c r="A48" s="57">
        <v>46000</v>
      </c>
      <c r="B48" s="58" t="s">
        <v>182</v>
      </c>
      <c r="C48" s="75">
        <v>3</v>
      </c>
      <c r="D48" s="76">
        <v>2.5</v>
      </c>
      <c r="E48" s="76">
        <f t="shared" si="1"/>
        <v>7.5</v>
      </c>
      <c r="F48" s="77"/>
      <c r="G48" s="77"/>
      <c r="I48" s="3"/>
    </row>
    <row r="49" spans="1:9" ht="15.55" x14ac:dyDescent="0.25">
      <c r="A49" s="57">
        <v>46000</v>
      </c>
      <c r="B49" s="58" t="s">
        <v>183</v>
      </c>
      <c r="C49" s="75">
        <v>2</v>
      </c>
      <c r="D49" s="76">
        <v>4.25</v>
      </c>
      <c r="E49" s="76">
        <f t="shared" si="1"/>
        <v>8.5</v>
      </c>
      <c r="F49" s="77"/>
      <c r="G49" s="77"/>
      <c r="I49" s="3"/>
    </row>
    <row r="50" spans="1:9" ht="15.55" x14ac:dyDescent="0.25">
      <c r="A50" s="57">
        <v>46000</v>
      </c>
      <c r="B50" s="58" t="s">
        <v>184</v>
      </c>
      <c r="C50" s="75">
        <v>10</v>
      </c>
      <c r="D50" s="76">
        <v>0.5</v>
      </c>
      <c r="E50" s="76">
        <f t="shared" si="1"/>
        <v>5</v>
      </c>
      <c r="F50" s="77"/>
      <c r="G50" s="77"/>
      <c r="I50" s="3"/>
    </row>
    <row r="51" spans="1:9" ht="15.55" x14ac:dyDescent="0.25">
      <c r="A51" s="57">
        <v>46000</v>
      </c>
      <c r="B51" s="58" t="s">
        <v>185</v>
      </c>
      <c r="C51" s="75">
        <v>17</v>
      </c>
      <c r="D51" s="76">
        <v>12</v>
      </c>
      <c r="E51" s="76">
        <f t="shared" si="1"/>
        <v>204</v>
      </c>
      <c r="F51" s="77"/>
      <c r="G51" s="77"/>
      <c r="I51" s="3"/>
    </row>
    <row r="52" spans="1:9" ht="15.55" x14ac:dyDescent="0.25">
      <c r="A52" s="57">
        <v>46000</v>
      </c>
      <c r="B52" s="58" t="s">
        <v>186</v>
      </c>
      <c r="C52" s="75">
        <v>3</v>
      </c>
      <c r="D52" s="76">
        <v>25</v>
      </c>
      <c r="E52" s="76">
        <f t="shared" si="1"/>
        <v>75</v>
      </c>
      <c r="F52" s="77"/>
      <c r="G52" s="77"/>
      <c r="I52" s="3"/>
    </row>
    <row r="53" spans="1:9" ht="15.55" x14ac:dyDescent="0.25">
      <c r="A53" s="57">
        <v>46000</v>
      </c>
      <c r="B53" s="58" t="s">
        <v>187</v>
      </c>
      <c r="C53" s="75">
        <v>10</v>
      </c>
      <c r="D53" s="76">
        <v>1</v>
      </c>
      <c r="E53" s="76">
        <f t="shared" si="1"/>
        <v>10</v>
      </c>
      <c r="F53" s="77"/>
      <c r="G53" s="77"/>
      <c r="I53" s="3"/>
    </row>
    <row r="54" spans="1:9" ht="15.55" x14ac:dyDescent="0.25">
      <c r="A54" s="57">
        <v>46000</v>
      </c>
      <c r="B54" s="58" t="s">
        <v>188</v>
      </c>
      <c r="C54" s="75">
        <v>2</v>
      </c>
      <c r="D54" s="76">
        <v>2.5</v>
      </c>
      <c r="E54" s="76">
        <f t="shared" si="1"/>
        <v>5</v>
      </c>
      <c r="F54" s="77"/>
      <c r="G54" s="77"/>
      <c r="I54" s="3"/>
    </row>
    <row r="55" spans="1:9" ht="15.55" x14ac:dyDescent="0.25">
      <c r="A55" s="57">
        <v>46000</v>
      </c>
      <c r="B55" s="58" t="s">
        <v>189</v>
      </c>
      <c r="C55" s="75">
        <v>2</v>
      </c>
      <c r="D55" s="76">
        <v>2</v>
      </c>
      <c r="E55" s="76">
        <f t="shared" si="1"/>
        <v>4</v>
      </c>
      <c r="F55" s="77"/>
      <c r="G55" s="77"/>
      <c r="I55" s="3"/>
    </row>
    <row r="56" spans="1:9" ht="15.55" x14ac:dyDescent="0.25">
      <c r="A56" s="57">
        <v>46000</v>
      </c>
      <c r="B56" s="58" t="s">
        <v>190</v>
      </c>
      <c r="C56" s="75">
        <v>2</v>
      </c>
      <c r="D56" s="76">
        <v>1.5</v>
      </c>
      <c r="E56" s="76">
        <f t="shared" si="1"/>
        <v>3</v>
      </c>
      <c r="F56" s="77"/>
      <c r="G56" s="77"/>
      <c r="I56" s="3"/>
    </row>
    <row r="57" spans="1:9" ht="15.55" x14ac:dyDescent="0.25">
      <c r="A57" s="57">
        <v>46000</v>
      </c>
      <c r="B57" s="58" t="s">
        <v>191</v>
      </c>
      <c r="C57" s="75">
        <v>1</v>
      </c>
      <c r="D57" s="76">
        <v>25</v>
      </c>
      <c r="E57" s="76">
        <f t="shared" si="1"/>
        <v>25</v>
      </c>
      <c r="F57" s="77"/>
      <c r="G57" s="77"/>
      <c r="I57" s="3"/>
    </row>
    <row r="58" spans="1:9" ht="15.55" x14ac:dyDescent="0.25">
      <c r="A58" s="57">
        <v>46000</v>
      </c>
      <c r="B58" s="58" t="s">
        <v>192</v>
      </c>
      <c r="C58" s="75">
        <v>6</v>
      </c>
      <c r="D58" s="76">
        <v>0.75</v>
      </c>
      <c r="E58" s="76">
        <f t="shared" si="1"/>
        <v>4.5</v>
      </c>
      <c r="F58" s="77"/>
      <c r="G58" s="77"/>
      <c r="I58" s="3"/>
    </row>
    <row r="59" spans="1:9" ht="15.55" x14ac:dyDescent="0.25">
      <c r="A59" s="57">
        <v>46000</v>
      </c>
      <c r="B59" s="58" t="s">
        <v>193</v>
      </c>
      <c r="C59" s="75">
        <v>4</v>
      </c>
      <c r="D59" s="76">
        <v>3.5</v>
      </c>
      <c r="E59" s="76">
        <f t="shared" si="1"/>
        <v>14</v>
      </c>
      <c r="F59" s="77"/>
      <c r="G59" s="77"/>
      <c r="I59" s="3"/>
    </row>
    <row r="60" spans="1:9" ht="15.55" x14ac:dyDescent="0.25">
      <c r="A60" s="57">
        <v>46000</v>
      </c>
      <c r="B60" s="58" t="s">
        <v>194</v>
      </c>
      <c r="C60" s="75">
        <v>5</v>
      </c>
      <c r="D60" s="76">
        <v>0.75</v>
      </c>
      <c r="E60" s="76">
        <f t="shared" si="1"/>
        <v>3.75</v>
      </c>
      <c r="F60" s="77"/>
      <c r="G60" s="77"/>
      <c r="H60">
        <f>MAX(0, C2-SUMIF($Q:$Q,B2,$R:$R))</f>
        <v>4</v>
      </c>
      <c r="I60" s="3"/>
    </row>
    <row r="61" spans="1:9" ht="15.55" x14ac:dyDescent="0.25">
      <c r="A61" s="57">
        <v>46000</v>
      </c>
      <c r="B61" s="58" t="s">
        <v>195</v>
      </c>
      <c r="C61" s="75">
        <v>2</v>
      </c>
      <c r="D61" s="76">
        <v>4</v>
      </c>
      <c r="E61" s="76">
        <f t="shared" si="1"/>
        <v>8</v>
      </c>
      <c r="F61" s="77"/>
      <c r="G61" s="77"/>
      <c r="I61" s="3"/>
    </row>
    <row r="62" spans="1:9" ht="15.55" x14ac:dyDescent="0.25">
      <c r="A62" s="57">
        <v>46000</v>
      </c>
      <c r="B62" s="58" t="s">
        <v>196</v>
      </c>
      <c r="C62" s="75">
        <v>5</v>
      </c>
      <c r="D62" s="78">
        <v>0.5</v>
      </c>
      <c r="E62" s="76">
        <f t="shared" si="1"/>
        <v>2.5</v>
      </c>
      <c r="F62" s="77"/>
      <c r="G62" s="77"/>
      <c r="I62" s="3"/>
    </row>
    <row r="63" spans="1:9" ht="15.55" x14ac:dyDescent="0.25">
      <c r="A63" s="57">
        <v>46000</v>
      </c>
      <c r="B63" s="58" t="s">
        <v>197</v>
      </c>
      <c r="C63" s="75">
        <v>1</v>
      </c>
      <c r="D63" s="76">
        <v>175</v>
      </c>
      <c r="E63" s="76">
        <f t="shared" si="1"/>
        <v>175</v>
      </c>
      <c r="F63" s="77"/>
      <c r="G63" s="77"/>
      <c r="I63" s="3"/>
    </row>
    <row r="64" spans="1:9" ht="15.55" x14ac:dyDescent="0.25">
      <c r="A64" s="57">
        <v>46000</v>
      </c>
      <c r="B64" s="58" t="s">
        <v>198</v>
      </c>
      <c r="C64" s="75">
        <v>142</v>
      </c>
      <c r="D64" s="76">
        <v>5.3</v>
      </c>
      <c r="E64" s="76">
        <f t="shared" si="1"/>
        <v>752.6</v>
      </c>
      <c r="F64" s="77"/>
      <c r="G64" s="220"/>
      <c r="H64" s="221"/>
      <c r="I64" s="34"/>
    </row>
    <row r="65" spans="1:9" ht="15.55" x14ac:dyDescent="0.25">
      <c r="A65" s="57">
        <v>46000</v>
      </c>
      <c r="B65" s="58" t="s">
        <v>199</v>
      </c>
      <c r="C65" s="75">
        <v>5</v>
      </c>
      <c r="D65" s="76">
        <v>25</v>
      </c>
      <c r="E65" s="76">
        <f t="shared" si="1"/>
        <v>125</v>
      </c>
      <c r="F65" s="77"/>
      <c r="G65" s="77"/>
      <c r="H65" s="9"/>
      <c r="I65" s="9"/>
    </row>
    <row r="66" spans="1:9" ht="15.55" x14ac:dyDescent="0.25">
      <c r="A66" s="57">
        <v>46000</v>
      </c>
      <c r="B66" s="58" t="s">
        <v>200</v>
      </c>
      <c r="C66" s="75">
        <v>10</v>
      </c>
      <c r="D66" s="76">
        <v>3.5</v>
      </c>
      <c r="E66" s="76">
        <f t="shared" si="1"/>
        <v>35</v>
      </c>
      <c r="F66" s="77"/>
      <c r="G66" s="77"/>
      <c r="H66" s="42"/>
      <c r="I66" s="9"/>
    </row>
    <row r="67" spans="1:9" ht="15.55" x14ac:dyDescent="0.25">
      <c r="A67" s="57">
        <v>46000</v>
      </c>
      <c r="B67" s="58" t="s">
        <v>201</v>
      </c>
      <c r="C67" s="75">
        <v>40</v>
      </c>
      <c r="D67" s="76">
        <v>0.5</v>
      </c>
      <c r="E67" s="76">
        <f t="shared" si="1"/>
        <v>20</v>
      </c>
      <c r="F67" s="77"/>
      <c r="G67" s="77"/>
      <c r="H67" s="42"/>
      <c r="I67" s="9"/>
    </row>
    <row r="68" spans="1:9" ht="15.55" x14ac:dyDescent="0.25">
      <c r="A68" s="57">
        <v>46000</v>
      </c>
      <c r="B68" s="58" t="s">
        <v>202</v>
      </c>
      <c r="C68" s="75">
        <v>12</v>
      </c>
      <c r="D68" s="76">
        <v>0.8</v>
      </c>
      <c r="E68" s="76">
        <f t="shared" si="1"/>
        <v>9.6000000000000014</v>
      </c>
      <c r="F68" s="77"/>
      <c r="G68" s="77"/>
      <c r="H68" s="42"/>
      <c r="I68" s="9"/>
    </row>
    <row r="69" spans="1:9" ht="15.55" x14ac:dyDescent="0.25">
      <c r="A69" s="57">
        <v>46000</v>
      </c>
      <c r="B69" s="58" t="s">
        <v>203</v>
      </c>
      <c r="C69" s="75">
        <v>6</v>
      </c>
      <c r="D69" s="76">
        <v>4.7</v>
      </c>
      <c r="E69" s="76">
        <f t="shared" si="1"/>
        <v>28.200000000000003</v>
      </c>
      <c r="F69" s="77"/>
      <c r="G69" s="77"/>
      <c r="H69" s="42"/>
      <c r="I69" s="9"/>
    </row>
    <row r="70" spans="1:9" ht="15.55" x14ac:dyDescent="0.25">
      <c r="A70" s="57">
        <v>46000</v>
      </c>
      <c r="B70" s="58" t="s">
        <v>204</v>
      </c>
      <c r="C70" s="75">
        <v>16</v>
      </c>
      <c r="D70" s="76">
        <v>0.5</v>
      </c>
      <c r="E70" s="76">
        <f t="shared" si="1"/>
        <v>8</v>
      </c>
      <c r="F70" s="77"/>
      <c r="G70" s="79"/>
      <c r="H70" s="37"/>
      <c r="I70" s="34"/>
    </row>
    <row r="71" spans="1:9" ht="15.55" x14ac:dyDescent="0.25">
      <c r="A71" s="57">
        <v>46000</v>
      </c>
      <c r="B71" s="58" t="s">
        <v>205</v>
      </c>
      <c r="C71" s="75">
        <v>4</v>
      </c>
      <c r="D71" s="76">
        <v>0.8</v>
      </c>
      <c r="E71" s="76">
        <f t="shared" si="1"/>
        <v>3.2</v>
      </c>
      <c r="F71" s="77"/>
      <c r="G71" s="77"/>
      <c r="H71" s="37"/>
      <c r="I71" s="34"/>
    </row>
    <row r="72" spans="1:9" ht="15.55" x14ac:dyDescent="0.25">
      <c r="A72" s="57">
        <v>46000</v>
      </c>
      <c r="B72" s="58" t="s">
        <v>206</v>
      </c>
      <c r="C72" s="75">
        <v>5</v>
      </c>
      <c r="D72" s="76">
        <v>1.5</v>
      </c>
      <c r="E72" s="76">
        <f t="shared" si="1"/>
        <v>7.5</v>
      </c>
      <c r="F72" s="77"/>
      <c r="G72" s="77"/>
      <c r="I72" s="3"/>
    </row>
    <row r="73" spans="1:9" ht="15.55" x14ac:dyDescent="0.25">
      <c r="A73" s="57">
        <v>46000</v>
      </c>
      <c r="B73" s="58" t="s">
        <v>207</v>
      </c>
      <c r="C73" s="75">
        <v>4</v>
      </c>
      <c r="D73" s="76">
        <v>0.5</v>
      </c>
      <c r="E73" s="76">
        <f t="shared" si="1"/>
        <v>2</v>
      </c>
      <c r="F73" s="77"/>
      <c r="G73" s="77"/>
      <c r="I73" s="3"/>
    </row>
    <row r="74" spans="1:9" ht="15.55" x14ac:dyDescent="0.25">
      <c r="A74" s="57">
        <v>46000</v>
      </c>
      <c r="B74" s="58" t="s">
        <v>208</v>
      </c>
      <c r="C74" s="75">
        <v>2</v>
      </c>
      <c r="D74" s="76">
        <v>1.6</v>
      </c>
      <c r="E74" s="76">
        <f t="shared" si="1"/>
        <v>3.2</v>
      </c>
      <c r="F74" s="77"/>
      <c r="G74" s="77"/>
      <c r="I74" s="3"/>
    </row>
    <row r="75" spans="1:9" ht="15.55" x14ac:dyDescent="0.25">
      <c r="A75" s="57">
        <v>46000</v>
      </c>
      <c r="B75" s="58" t="s">
        <v>209</v>
      </c>
      <c r="C75" s="75">
        <v>10</v>
      </c>
      <c r="D75" s="76">
        <v>0.8</v>
      </c>
      <c r="E75" s="76">
        <f t="shared" si="1"/>
        <v>8</v>
      </c>
      <c r="F75" s="77"/>
      <c r="G75" s="77"/>
      <c r="I75" s="3"/>
    </row>
    <row r="76" spans="1:9" ht="15.55" x14ac:dyDescent="0.25">
      <c r="A76" s="57">
        <v>46000</v>
      </c>
      <c r="B76" s="58" t="s">
        <v>210</v>
      </c>
      <c r="C76" s="75">
        <v>3</v>
      </c>
      <c r="D76" s="76">
        <v>0.8</v>
      </c>
      <c r="E76" s="76">
        <f t="shared" si="1"/>
        <v>2.4000000000000004</v>
      </c>
      <c r="F76" s="77"/>
      <c r="G76" s="77"/>
      <c r="I76" s="3"/>
    </row>
    <row r="77" spans="1:9" ht="15.55" x14ac:dyDescent="0.25">
      <c r="A77" s="57">
        <v>46000</v>
      </c>
      <c r="B77" s="58" t="s">
        <v>211</v>
      </c>
      <c r="C77" s="75">
        <v>2</v>
      </c>
      <c r="D77" s="76">
        <v>4.7</v>
      </c>
      <c r="E77" s="76">
        <f t="shared" si="1"/>
        <v>9.4</v>
      </c>
      <c r="F77" s="77"/>
      <c r="G77" s="77"/>
      <c r="I77" s="3"/>
    </row>
    <row r="78" spans="1:9" ht="15.55" x14ac:dyDescent="0.25">
      <c r="A78" s="57">
        <v>46000</v>
      </c>
      <c r="B78" s="58" t="s">
        <v>212</v>
      </c>
      <c r="C78" s="75">
        <v>1</v>
      </c>
      <c r="D78" s="76">
        <v>6.2</v>
      </c>
      <c r="E78" s="76">
        <f t="shared" si="1"/>
        <v>6.2</v>
      </c>
      <c r="F78" s="77"/>
      <c r="G78" s="77"/>
      <c r="I78" s="3"/>
    </row>
    <row r="79" spans="1:9" ht="15.55" x14ac:dyDescent="0.25">
      <c r="A79" s="57">
        <v>46000</v>
      </c>
      <c r="B79" s="58" t="s">
        <v>213</v>
      </c>
      <c r="C79" s="75">
        <v>1</v>
      </c>
      <c r="D79" s="76">
        <v>4.7</v>
      </c>
      <c r="E79" s="76">
        <f t="shared" si="1"/>
        <v>4.7</v>
      </c>
      <c r="F79" s="77"/>
      <c r="G79" s="77"/>
      <c r="I79" s="3"/>
    </row>
    <row r="80" spans="1:9" ht="15.55" x14ac:dyDescent="0.25">
      <c r="A80" s="57">
        <v>46000</v>
      </c>
      <c r="B80" s="58" t="s">
        <v>214</v>
      </c>
      <c r="C80" s="75">
        <v>1</v>
      </c>
      <c r="D80" s="76">
        <v>0.8</v>
      </c>
      <c r="E80" s="76">
        <f t="shared" si="1"/>
        <v>0.8</v>
      </c>
      <c r="F80" s="77"/>
      <c r="G80" s="77"/>
      <c r="I80" s="3"/>
    </row>
    <row r="81" spans="1:9" ht="15.55" x14ac:dyDescent="0.25">
      <c r="A81" s="57">
        <v>46000</v>
      </c>
      <c r="B81" s="58" t="s">
        <v>215</v>
      </c>
      <c r="C81" s="75">
        <v>1</v>
      </c>
      <c r="D81" s="76">
        <v>38</v>
      </c>
      <c r="E81" s="76">
        <f t="shared" si="1"/>
        <v>38</v>
      </c>
      <c r="F81" s="77"/>
      <c r="G81" s="77"/>
      <c r="I81" s="3"/>
    </row>
    <row r="82" spans="1:9" ht="15.55" x14ac:dyDescent="0.25">
      <c r="A82" s="57">
        <v>46000</v>
      </c>
      <c r="B82" s="58" t="s">
        <v>216</v>
      </c>
      <c r="C82" s="75">
        <v>1</v>
      </c>
      <c r="D82" s="76">
        <v>35</v>
      </c>
      <c r="E82" s="76">
        <f t="shared" si="1"/>
        <v>35</v>
      </c>
      <c r="F82" s="77"/>
      <c r="G82" s="77"/>
      <c r="I82" s="3"/>
    </row>
    <row r="83" spans="1:9" ht="15.55" x14ac:dyDescent="0.25">
      <c r="A83" s="57">
        <v>46000</v>
      </c>
      <c r="B83" s="58" t="s">
        <v>217</v>
      </c>
      <c r="C83" s="75">
        <v>1</v>
      </c>
      <c r="D83" s="76">
        <v>35</v>
      </c>
      <c r="E83" s="76">
        <f t="shared" si="1"/>
        <v>35</v>
      </c>
      <c r="F83" s="77"/>
      <c r="G83" s="77"/>
      <c r="H83" s="37"/>
      <c r="I83" s="3"/>
    </row>
    <row r="84" spans="1:9" ht="15.55" x14ac:dyDescent="0.25">
      <c r="A84" s="57">
        <v>46000</v>
      </c>
      <c r="B84" s="58" t="s">
        <v>218</v>
      </c>
      <c r="C84" s="75">
        <v>2</v>
      </c>
      <c r="D84" s="76">
        <v>20</v>
      </c>
      <c r="E84" s="76">
        <f t="shared" si="1"/>
        <v>40</v>
      </c>
      <c r="F84" s="77"/>
      <c r="G84" s="77"/>
      <c r="H84" s="37"/>
      <c r="I84" s="3"/>
    </row>
    <row r="85" spans="1:9" ht="15.55" x14ac:dyDescent="0.25">
      <c r="A85" s="57">
        <v>46000</v>
      </c>
      <c r="B85" s="58" t="s">
        <v>219</v>
      </c>
      <c r="C85" s="75">
        <v>1</v>
      </c>
      <c r="D85" s="76">
        <v>63</v>
      </c>
      <c r="E85" s="76">
        <f t="shared" si="1"/>
        <v>63</v>
      </c>
      <c r="F85" s="77"/>
      <c r="G85" s="77"/>
      <c r="H85" s="37"/>
      <c r="I85" s="3"/>
    </row>
    <row r="86" spans="1:9" ht="15.55" x14ac:dyDescent="0.25">
      <c r="A86" s="57">
        <v>46000</v>
      </c>
      <c r="B86" s="58" t="s">
        <v>220</v>
      </c>
      <c r="C86" s="75">
        <v>2</v>
      </c>
      <c r="D86" s="76">
        <v>3.5</v>
      </c>
      <c r="E86" s="76">
        <f t="shared" si="1"/>
        <v>7</v>
      </c>
      <c r="F86" s="77"/>
      <c r="G86" s="77"/>
      <c r="I86" s="3"/>
    </row>
    <row r="87" spans="1:9" ht="15.55" x14ac:dyDescent="0.25">
      <c r="A87" s="57">
        <v>46000</v>
      </c>
      <c r="B87" s="58" t="s">
        <v>221</v>
      </c>
      <c r="C87" s="75">
        <v>2</v>
      </c>
      <c r="D87" s="76">
        <v>2.5</v>
      </c>
      <c r="E87" s="76">
        <f t="shared" si="1"/>
        <v>5</v>
      </c>
      <c r="F87" s="77"/>
      <c r="G87" s="77"/>
      <c r="I87" s="3"/>
    </row>
    <row r="88" spans="1:9" ht="15.55" x14ac:dyDescent="0.25">
      <c r="A88" s="80">
        <v>46002</v>
      </c>
      <c r="B88" s="62" t="s">
        <v>222</v>
      </c>
      <c r="C88" s="81">
        <v>1</v>
      </c>
      <c r="D88" s="63">
        <v>29</v>
      </c>
      <c r="E88" s="63">
        <f t="shared" si="1"/>
        <v>29</v>
      </c>
      <c r="F88" s="77"/>
      <c r="G88" s="77"/>
      <c r="I88" s="3"/>
    </row>
    <row r="89" spans="1:9" ht="15.55" x14ac:dyDescent="0.25">
      <c r="A89" s="80">
        <v>46005</v>
      </c>
      <c r="B89" s="62" t="s">
        <v>63</v>
      </c>
      <c r="C89" s="81">
        <v>20</v>
      </c>
      <c r="D89" s="63">
        <v>7</v>
      </c>
      <c r="E89" s="63">
        <f t="shared" si="1"/>
        <v>140</v>
      </c>
      <c r="F89" s="82"/>
      <c r="G89" s="82"/>
      <c r="I89" s="3"/>
    </row>
    <row r="90" spans="1:9" ht="15.55" x14ac:dyDescent="0.25">
      <c r="A90" s="80">
        <v>46005</v>
      </c>
      <c r="B90" s="62" t="s">
        <v>223</v>
      </c>
      <c r="C90" s="81">
        <v>2</v>
      </c>
      <c r="D90" s="63">
        <v>1.5</v>
      </c>
      <c r="E90" s="63">
        <f t="shared" si="1"/>
        <v>3</v>
      </c>
      <c r="F90" s="77"/>
      <c r="G90" s="77"/>
      <c r="H90" s="1"/>
      <c r="I90" s="3"/>
    </row>
    <row r="91" spans="1:9" ht="15.55" x14ac:dyDescent="0.25">
      <c r="A91" s="80">
        <v>46006</v>
      </c>
      <c r="B91" s="62" t="s">
        <v>224</v>
      </c>
      <c r="C91" s="81">
        <v>10</v>
      </c>
      <c r="D91" s="63">
        <v>6</v>
      </c>
      <c r="E91" s="63">
        <f t="shared" si="1"/>
        <v>60</v>
      </c>
      <c r="F91" s="77"/>
      <c r="G91" s="77"/>
      <c r="H91" s="1"/>
      <c r="I91" s="3"/>
    </row>
    <row r="92" spans="1:9" ht="15.55" x14ac:dyDescent="0.25">
      <c r="A92" s="80">
        <v>46008</v>
      </c>
      <c r="B92" s="62" t="s">
        <v>63</v>
      </c>
      <c r="C92" s="81">
        <v>10</v>
      </c>
      <c r="D92" s="63">
        <v>7</v>
      </c>
      <c r="E92" s="63">
        <f t="shared" si="1"/>
        <v>70</v>
      </c>
      <c r="F92" s="77"/>
      <c r="G92" s="77"/>
      <c r="H92" s="1"/>
      <c r="I92" s="3"/>
    </row>
    <row r="93" spans="1:9" ht="15.55" x14ac:dyDescent="0.25">
      <c r="A93" s="80">
        <v>46010</v>
      </c>
      <c r="B93" s="62" t="s">
        <v>63</v>
      </c>
      <c r="C93" s="81">
        <v>3</v>
      </c>
      <c r="D93" s="63">
        <v>7</v>
      </c>
      <c r="E93" s="63">
        <f t="shared" si="1"/>
        <v>21</v>
      </c>
      <c r="F93" s="77"/>
      <c r="G93" s="77"/>
      <c r="H93" s="1"/>
      <c r="I93" s="3"/>
    </row>
    <row r="94" spans="1:9" ht="15.55" x14ac:dyDescent="0.25">
      <c r="A94" s="80"/>
      <c r="B94" s="62"/>
      <c r="C94" s="81"/>
      <c r="D94" s="63"/>
      <c r="E94" s="63"/>
      <c r="F94" s="77"/>
      <c r="G94" s="77"/>
      <c r="H94" s="1"/>
      <c r="I94" s="83"/>
    </row>
    <row r="95" spans="1:9" ht="15.55" x14ac:dyDescent="0.25">
      <c r="A95" s="80"/>
      <c r="B95" s="62"/>
      <c r="C95" s="81"/>
      <c r="D95" s="63"/>
      <c r="E95" s="63"/>
      <c r="F95" s="77"/>
      <c r="G95" s="77"/>
      <c r="H95" s="1"/>
      <c r="I95" s="83"/>
    </row>
    <row r="96" spans="1:9" ht="15.55" x14ac:dyDescent="0.25">
      <c r="A96" s="80"/>
      <c r="B96" s="62"/>
      <c r="C96" s="81"/>
      <c r="D96" s="63"/>
      <c r="E96" s="63"/>
      <c r="F96" s="77"/>
      <c r="G96" s="77"/>
      <c r="H96" s="1"/>
      <c r="I96" s="83"/>
    </row>
    <row r="97" spans="1:9" ht="15.55" x14ac:dyDescent="0.25">
      <c r="A97" s="80"/>
      <c r="B97" s="62"/>
      <c r="C97" s="81"/>
      <c r="D97" s="63"/>
      <c r="E97" s="63"/>
      <c r="F97" s="77"/>
      <c r="G97" s="77"/>
      <c r="H97" s="1"/>
      <c r="I97" s="83"/>
    </row>
    <row r="98" spans="1:9" ht="15.55" x14ac:dyDescent="0.25">
      <c r="A98" s="80"/>
      <c r="B98" s="62"/>
      <c r="C98" s="81"/>
      <c r="D98" s="63"/>
      <c r="E98" s="63"/>
      <c r="F98" s="77"/>
      <c r="G98" s="77"/>
      <c r="H98" s="1"/>
      <c r="I98" s="83"/>
    </row>
    <row r="99" spans="1:9" ht="15.55" x14ac:dyDescent="0.25">
      <c r="A99" s="80"/>
      <c r="B99" s="62"/>
      <c r="C99" s="81"/>
      <c r="D99" s="63"/>
      <c r="E99" s="63"/>
      <c r="F99" s="77"/>
      <c r="G99" s="77"/>
      <c r="H99" s="1"/>
      <c r="I99" s="83"/>
    </row>
    <row r="100" spans="1:9" ht="15.55" x14ac:dyDescent="0.25">
      <c r="A100" s="80"/>
      <c r="B100" s="62"/>
      <c r="C100" s="81"/>
      <c r="D100" s="63"/>
      <c r="E100" s="63"/>
      <c r="F100" s="77"/>
      <c r="G100" s="77"/>
      <c r="H100" s="1"/>
      <c r="I100" s="83"/>
    </row>
    <row r="101" spans="1:9" ht="15.55" x14ac:dyDescent="0.25">
      <c r="A101" s="84"/>
      <c r="B101" s="85" t="s">
        <v>127</v>
      </c>
      <c r="C101" s="86"/>
      <c r="D101" s="87"/>
      <c r="E101" s="87">
        <f>SUM(E2:E100)</f>
        <v>8144.5999999999985</v>
      </c>
      <c r="F101" s="77"/>
      <c r="G101" s="77"/>
      <c r="H101" s="1"/>
      <c r="I101" s="83"/>
    </row>
    <row r="102" spans="1:9" ht="15.55" x14ac:dyDescent="0.25">
      <c r="A102" s="84"/>
      <c r="B102" s="85"/>
      <c r="C102" s="86" t="s">
        <v>225</v>
      </c>
      <c r="D102" s="87" t="s">
        <v>226</v>
      </c>
      <c r="E102" s="87"/>
      <c r="F102" s="77"/>
      <c r="G102" s="77"/>
      <c r="H102" s="1"/>
      <c r="I102" s="83"/>
    </row>
    <row r="103" spans="1:9" ht="15.55" x14ac:dyDescent="0.25">
      <c r="A103" s="80"/>
      <c r="B103" s="73"/>
      <c r="C103" s="88">
        <v>3000</v>
      </c>
      <c r="D103" s="89">
        <f>E101-C103</f>
        <v>5144.5999999999985</v>
      </c>
      <c r="E103" s="63"/>
      <c r="F103" s="90"/>
      <c r="G103" s="222" t="s">
        <v>227</v>
      </c>
      <c r="H103" s="222"/>
      <c r="I103" s="3"/>
    </row>
    <row r="104" spans="1:9" ht="15.55" x14ac:dyDescent="0.25">
      <c r="A104" s="80"/>
      <c r="B104" s="62" t="s">
        <v>228</v>
      </c>
      <c r="C104" s="91">
        <v>205.5</v>
      </c>
      <c r="D104" s="92">
        <f>D103-C104</f>
        <v>4939.0999999999985</v>
      </c>
      <c r="E104" s="63"/>
      <c r="F104" s="64" t="s">
        <v>229</v>
      </c>
      <c r="G104" s="13">
        <v>13</v>
      </c>
      <c r="H104" s="93">
        <v>7.5</v>
      </c>
      <c r="I104" s="93">
        <f>G104*H104</f>
        <v>97.5</v>
      </c>
    </row>
    <row r="105" spans="1:9" ht="15.55" x14ac:dyDescent="0.25">
      <c r="A105" s="80"/>
      <c r="B105" s="62"/>
      <c r="C105" s="81"/>
      <c r="D105" s="63"/>
      <c r="E105" s="63"/>
      <c r="F105" s="64" t="s">
        <v>230</v>
      </c>
      <c r="G105" s="94">
        <v>52</v>
      </c>
      <c r="H105" s="93">
        <v>1.8</v>
      </c>
      <c r="I105" s="93">
        <f>G105*H105</f>
        <v>93.600000000000009</v>
      </c>
    </row>
    <row r="106" spans="1:9" ht="15.55" x14ac:dyDescent="0.25">
      <c r="A106" s="80"/>
      <c r="B106" s="62"/>
      <c r="C106" s="81"/>
      <c r="D106" s="63"/>
      <c r="E106" s="63"/>
      <c r="F106" s="64" t="s">
        <v>231</v>
      </c>
      <c r="G106" s="94">
        <v>18</v>
      </c>
      <c r="H106" s="93">
        <v>0.8</v>
      </c>
      <c r="I106" s="93">
        <f>G106*H106</f>
        <v>14.4</v>
      </c>
    </row>
    <row r="107" spans="1:9" ht="15.55" x14ac:dyDescent="0.25">
      <c r="A107" s="80"/>
      <c r="B107" s="62"/>
      <c r="C107" s="81"/>
      <c r="D107" s="63"/>
      <c r="E107" s="63"/>
      <c r="F107" s="64"/>
      <c r="G107" s="94"/>
      <c r="H107" s="93"/>
      <c r="I107" s="93"/>
    </row>
    <row r="108" spans="1:9" ht="15.55" x14ac:dyDescent="0.25">
      <c r="A108" s="80"/>
      <c r="B108" s="62"/>
      <c r="C108" s="81"/>
      <c r="D108" s="63"/>
      <c r="E108" s="63"/>
      <c r="F108" s="64"/>
      <c r="G108" s="94"/>
      <c r="H108" s="93"/>
      <c r="I108" s="93"/>
    </row>
    <row r="109" spans="1:9" ht="15.55" x14ac:dyDescent="0.25">
      <c r="A109" s="80"/>
      <c r="B109" s="62"/>
      <c r="C109" s="81"/>
      <c r="D109" s="63"/>
      <c r="E109" s="63"/>
      <c r="F109" s="79"/>
      <c r="H109" s="3" t="s">
        <v>127</v>
      </c>
      <c r="I109" s="95">
        <f>SUM(I104:I108)</f>
        <v>205.50000000000003</v>
      </c>
    </row>
  </sheetData>
  <mergeCells count="2">
    <mergeCell ref="G64:H64"/>
    <mergeCell ref="G103:H10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E25"/>
  <sheetViews>
    <sheetView topLeftCell="A7" workbookViewId="0">
      <selection activeCell="C25" sqref="C25"/>
    </sheetView>
  </sheetViews>
  <sheetFormatPr defaultRowHeight="14.85" x14ac:dyDescent="0.25"/>
  <cols>
    <col min="1" max="1" width="11.875" bestFit="1" customWidth="1"/>
    <col min="2" max="2" width="14.25" customWidth="1"/>
    <col min="3" max="3" width="18.25" customWidth="1"/>
    <col min="4" max="4" width="13.25" bestFit="1" customWidth="1"/>
    <col min="5" max="5" width="14.5" bestFit="1" customWidth="1"/>
  </cols>
  <sheetData>
    <row r="1" spans="1:5" ht="24" x14ac:dyDescent="0.4">
      <c r="A1" s="96" t="s">
        <v>3</v>
      </c>
      <c r="B1" s="96" t="s">
        <v>232</v>
      </c>
      <c r="C1" s="97" t="s">
        <v>5</v>
      </c>
      <c r="D1" s="98" t="s">
        <v>6</v>
      </c>
      <c r="E1" s="98" t="s">
        <v>7</v>
      </c>
    </row>
    <row r="2" spans="1:5" x14ac:dyDescent="0.25">
      <c r="A2" s="99">
        <v>45997</v>
      </c>
      <c r="B2" s="100" t="s">
        <v>233</v>
      </c>
      <c r="C2" s="101">
        <v>60</v>
      </c>
      <c r="D2" s="13">
        <v>2.8</v>
      </c>
      <c r="E2" s="13">
        <f>C2*D2</f>
        <v>168</v>
      </c>
    </row>
    <row r="3" spans="1:5" x14ac:dyDescent="0.25">
      <c r="A3" s="99">
        <v>45997</v>
      </c>
      <c r="B3" s="100" t="s">
        <v>234</v>
      </c>
      <c r="C3" s="101">
        <v>1</v>
      </c>
      <c r="D3" s="13">
        <v>18</v>
      </c>
      <c r="E3" s="13">
        <f t="shared" ref="E3:E22" si="0">C3*D3</f>
        <v>18</v>
      </c>
    </row>
    <row r="4" spans="1:5" x14ac:dyDescent="0.25">
      <c r="A4" s="99">
        <v>45997</v>
      </c>
      <c r="B4" s="100" t="s">
        <v>235</v>
      </c>
      <c r="C4" s="101">
        <v>10</v>
      </c>
      <c r="D4" s="13">
        <v>0.5</v>
      </c>
      <c r="E4" s="13">
        <f t="shared" si="0"/>
        <v>5</v>
      </c>
    </row>
    <row r="5" spans="1:5" x14ac:dyDescent="0.25">
      <c r="A5" s="99">
        <v>45997</v>
      </c>
      <c r="B5" s="100" t="s">
        <v>236</v>
      </c>
      <c r="C5" s="101">
        <v>20</v>
      </c>
      <c r="D5" s="13">
        <v>3.5</v>
      </c>
      <c r="E5" s="13">
        <f t="shared" si="0"/>
        <v>70</v>
      </c>
    </row>
    <row r="6" spans="1:5" x14ac:dyDescent="0.25">
      <c r="A6" s="99">
        <v>45997</v>
      </c>
      <c r="B6" s="100" t="s">
        <v>237</v>
      </c>
      <c r="C6" s="101">
        <v>80</v>
      </c>
      <c r="D6" s="13">
        <v>2</v>
      </c>
      <c r="E6" s="13">
        <f t="shared" si="0"/>
        <v>160</v>
      </c>
    </row>
    <row r="7" spans="1:5" x14ac:dyDescent="0.25">
      <c r="A7" s="99">
        <v>45997</v>
      </c>
      <c r="B7" s="99" t="s">
        <v>238</v>
      </c>
      <c r="C7" s="101">
        <v>50</v>
      </c>
      <c r="D7" s="13">
        <v>1.8</v>
      </c>
      <c r="E7" s="13">
        <f t="shared" si="0"/>
        <v>90</v>
      </c>
    </row>
    <row r="8" spans="1:5" x14ac:dyDescent="0.25">
      <c r="A8" s="99">
        <v>45997</v>
      </c>
      <c r="B8" s="100" t="s">
        <v>158</v>
      </c>
      <c r="C8" s="101">
        <v>50</v>
      </c>
      <c r="D8" s="13">
        <v>4.4000000000000004</v>
      </c>
      <c r="E8" s="13">
        <f t="shared" si="0"/>
        <v>220.00000000000003</v>
      </c>
    </row>
    <row r="9" spans="1:5" x14ac:dyDescent="0.25">
      <c r="A9" s="99">
        <v>45997</v>
      </c>
      <c r="B9" s="100" t="s">
        <v>64</v>
      </c>
      <c r="C9" s="101">
        <v>2</v>
      </c>
      <c r="D9" s="13">
        <v>1.5</v>
      </c>
      <c r="E9" s="13">
        <f t="shared" si="0"/>
        <v>3</v>
      </c>
    </row>
    <row r="10" spans="1:5" x14ac:dyDescent="0.25">
      <c r="A10" s="99">
        <v>45997</v>
      </c>
      <c r="B10" s="100" t="s">
        <v>239</v>
      </c>
      <c r="C10" s="101">
        <v>1</v>
      </c>
      <c r="D10" s="13">
        <v>26.5</v>
      </c>
      <c r="E10" s="13">
        <f t="shared" si="0"/>
        <v>26.5</v>
      </c>
    </row>
    <row r="11" spans="1:5" x14ac:dyDescent="0.25">
      <c r="A11" s="99">
        <v>45997</v>
      </c>
      <c r="B11" s="100" t="s">
        <v>240</v>
      </c>
      <c r="C11" s="101">
        <v>1</v>
      </c>
      <c r="D11" s="13">
        <v>32</v>
      </c>
      <c r="E11" s="13">
        <f t="shared" si="0"/>
        <v>32</v>
      </c>
    </row>
    <row r="12" spans="1:5" x14ac:dyDescent="0.25">
      <c r="A12" s="99">
        <v>45997</v>
      </c>
      <c r="B12" s="100" t="s">
        <v>64</v>
      </c>
      <c r="C12" s="101">
        <v>4</v>
      </c>
      <c r="D12" s="13">
        <v>13</v>
      </c>
      <c r="E12" s="13">
        <f t="shared" si="0"/>
        <v>52</v>
      </c>
    </row>
    <row r="13" spans="1:5" ht="16.25" x14ac:dyDescent="0.3">
      <c r="A13" s="102">
        <v>46000</v>
      </c>
      <c r="B13" s="103" t="s">
        <v>241</v>
      </c>
      <c r="C13" s="104">
        <v>100</v>
      </c>
      <c r="D13" s="105">
        <v>0.5</v>
      </c>
      <c r="E13" s="106">
        <f t="shared" si="0"/>
        <v>50</v>
      </c>
    </row>
    <row r="14" spans="1:5" ht="16.25" x14ac:dyDescent="0.3">
      <c r="A14" s="107">
        <v>46000</v>
      </c>
      <c r="B14" s="103" t="s">
        <v>242</v>
      </c>
      <c r="C14" s="108">
        <v>30</v>
      </c>
      <c r="D14" s="106">
        <v>2.8</v>
      </c>
      <c r="E14" s="106">
        <f t="shared" si="0"/>
        <v>84</v>
      </c>
    </row>
    <row r="15" spans="1:5" ht="16.25" x14ac:dyDescent="0.3">
      <c r="A15" s="107">
        <v>46000</v>
      </c>
      <c r="B15" s="103" t="s">
        <v>243</v>
      </c>
      <c r="C15" s="108">
        <v>5</v>
      </c>
      <c r="D15" s="106">
        <v>5.5</v>
      </c>
      <c r="E15" s="106">
        <f t="shared" si="0"/>
        <v>27.5</v>
      </c>
    </row>
    <row r="16" spans="1:5" ht="16.25" x14ac:dyDescent="0.3">
      <c r="A16" s="109">
        <v>46000</v>
      </c>
      <c r="B16" s="110" t="s">
        <v>244</v>
      </c>
      <c r="C16" s="111">
        <v>50</v>
      </c>
      <c r="D16" s="112">
        <v>2</v>
      </c>
      <c r="E16" s="106">
        <f t="shared" si="0"/>
        <v>100</v>
      </c>
    </row>
    <row r="17" spans="1:5" ht="16.25" x14ac:dyDescent="0.3">
      <c r="A17" s="109">
        <v>46000</v>
      </c>
      <c r="B17" s="110" t="s">
        <v>245</v>
      </c>
      <c r="C17" s="111">
        <v>13</v>
      </c>
      <c r="D17" s="112">
        <v>3.5</v>
      </c>
      <c r="E17" s="106">
        <f t="shared" si="0"/>
        <v>45.5</v>
      </c>
    </row>
    <row r="18" spans="1:5" ht="16.25" x14ac:dyDescent="0.3">
      <c r="A18" s="109">
        <v>46000</v>
      </c>
      <c r="B18" s="110" t="s">
        <v>246</v>
      </c>
      <c r="C18" s="111">
        <v>1</v>
      </c>
      <c r="D18" s="112">
        <v>2</v>
      </c>
      <c r="E18" s="106">
        <f t="shared" si="0"/>
        <v>2</v>
      </c>
    </row>
    <row r="19" spans="1:5" ht="16.25" x14ac:dyDescent="0.3">
      <c r="A19" s="109">
        <v>46000</v>
      </c>
      <c r="B19" s="110" t="s">
        <v>247</v>
      </c>
      <c r="C19" s="111">
        <v>2</v>
      </c>
      <c r="D19" s="112">
        <v>0.25</v>
      </c>
      <c r="E19" s="106">
        <f t="shared" si="0"/>
        <v>0.5</v>
      </c>
    </row>
    <row r="20" spans="1:5" ht="16.25" x14ac:dyDescent="0.3">
      <c r="A20" s="109">
        <v>46000</v>
      </c>
      <c r="B20" s="110" t="s">
        <v>247</v>
      </c>
      <c r="C20" s="111">
        <v>1</v>
      </c>
      <c r="D20" s="112">
        <v>0.25</v>
      </c>
      <c r="E20" s="106">
        <f t="shared" si="0"/>
        <v>0.25</v>
      </c>
    </row>
    <row r="21" spans="1:5" ht="16.25" x14ac:dyDescent="0.3">
      <c r="A21" s="109">
        <v>46000</v>
      </c>
      <c r="B21" s="110" t="s">
        <v>248</v>
      </c>
      <c r="C21" s="111">
        <v>1</v>
      </c>
      <c r="D21" s="112">
        <v>3.5</v>
      </c>
      <c r="E21" s="106">
        <f t="shared" si="0"/>
        <v>3.5</v>
      </c>
    </row>
    <row r="22" spans="1:5" ht="16.25" x14ac:dyDescent="0.3">
      <c r="A22" s="109">
        <v>46011</v>
      </c>
      <c r="B22" s="110" t="s">
        <v>63</v>
      </c>
      <c r="C22" s="111">
        <v>30</v>
      </c>
      <c r="D22" s="112">
        <v>7</v>
      </c>
      <c r="E22" s="106">
        <f t="shared" si="0"/>
        <v>210</v>
      </c>
    </row>
    <row r="23" spans="1:5" ht="24" x14ac:dyDescent="0.4">
      <c r="A23" s="113"/>
      <c r="B23" s="113" t="s">
        <v>127</v>
      </c>
      <c r="C23" s="114"/>
      <c r="D23" s="115"/>
      <c r="E23" s="115">
        <f>SUM(E2:E22)</f>
        <v>1367.75</v>
      </c>
    </row>
    <row r="24" spans="1:5" ht="24" x14ac:dyDescent="0.4">
      <c r="A24" s="113"/>
      <c r="B24" s="113" t="s">
        <v>249</v>
      </c>
      <c r="C24" s="114" t="s">
        <v>331</v>
      </c>
      <c r="D24" s="115" t="s">
        <v>120</v>
      </c>
      <c r="E24" s="115"/>
    </row>
    <row r="25" spans="1:5" ht="21.2" x14ac:dyDescent="0.35">
      <c r="A25" s="116"/>
      <c r="B25" s="196"/>
      <c r="C25" s="197">
        <v>200</v>
      </c>
      <c r="D25" s="198">
        <f>E23-C25</f>
        <v>1167.75</v>
      </c>
      <c r="E25" s="19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79"/>
  <sheetViews>
    <sheetView topLeftCell="A58" workbookViewId="0">
      <selection activeCell="A2" sqref="A2:E80"/>
    </sheetView>
  </sheetViews>
  <sheetFormatPr defaultRowHeight="14.85" x14ac:dyDescent="0.25"/>
  <cols>
    <col min="1" max="1" width="10.375" bestFit="1" customWidth="1"/>
    <col min="2" max="2" width="18.625" bestFit="1" customWidth="1"/>
    <col min="3" max="3" width="5.875" bestFit="1" customWidth="1"/>
    <col min="4" max="4" width="7.25" style="3" bestFit="1" customWidth="1"/>
    <col min="5" max="5" width="9.75" style="3" bestFit="1" customWidth="1"/>
    <col min="6" max="8" width="10.5" bestFit="1" customWidth="1"/>
  </cols>
  <sheetData>
    <row r="1" spans="1:8" x14ac:dyDescent="0.25">
      <c r="A1" t="s">
        <v>3</v>
      </c>
      <c r="B1" t="s">
        <v>4</v>
      </c>
      <c r="C1" t="s">
        <v>5</v>
      </c>
      <c r="D1" s="3" t="s">
        <v>6</v>
      </c>
      <c r="E1" s="3" t="s">
        <v>7</v>
      </c>
      <c r="F1" t="s">
        <v>0</v>
      </c>
      <c r="G1" t="s">
        <v>1</v>
      </c>
      <c r="H1" t="s">
        <v>2</v>
      </c>
    </row>
    <row r="2" spans="1:8" x14ac:dyDescent="0.25">
      <c r="A2" s="41">
        <v>45689</v>
      </c>
      <c r="B2" s="42" t="s">
        <v>8</v>
      </c>
      <c r="C2" s="42">
        <v>1</v>
      </c>
      <c r="D2" s="9">
        <v>1.5</v>
      </c>
      <c r="E2" s="9">
        <f>C2*D2</f>
        <v>1.5</v>
      </c>
    </row>
    <row r="3" spans="1:8" x14ac:dyDescent="0.25">
      <c r="A3" s="41">
        <v>45689</v>
      </c>
      <c r="B3" s="42" t="s">
        <v>9</v>
      </c>
      <c r="C3" s="42">
        <v>1</v>
      </c>
      <c r="D3" s="9">
        <v>1</v>
      </c>
      <c r="E3" s="9">
        <f t="shared" ref="E3:E77" si="0">C3*D3</f>
        <v>1</v>
      </c>
    </row>
    <row r="4" spans="1:8" x14ac:dyDescent="0.25">
      <c r="A4" s="41">
        <v>45689</v>
      </c>
      <c r="B4" s="42" t="s">
        <v>10</v>
      </c>
      <c r="C4" s="42">
        <v>1</v>
      </c>
      <c r="D4" s="9">
        <v>0.5</v>
      </c>
      <c r="E4" s="9">
        <f t="shared" si="0"/>
        <v>0.5</v>
      </c>
    </row>
    <row r="5" spans="1:8" x14ac:dyDescent="0.25">
      <c r="A5" s="41">
        <v>45689</v>
      </c>
      <c r="B5" s="42" t="s">
        <v>11</v>
      </c>
      <c r="C5" s="42">
        <v>1</v>
      </c>
      <c r="D5" s="9">
        <v>1</v>
      </c>
      <c r="E5" s="9">
        <f t="shared" si="0"/>
        <v>1</v>
      </c>
    </row>
    <row r="6" spans="1:8" x14ac:dyDescent="0.25">
      <c r="A6" s="41">
        <v>45689</v>
      </c>
      <c r="B6" s="42" t="s">
        <v>12</v>
      </c>
      <c r="C6" s="42">
        <v>2</v>
      </c>
      <c r="D6" s="9">
        <v>3</v>
      </c>
      <c r="E6" s="9">
        <f t="shared" si="0"/>
        <v>6</v>
      </c>
    </row>
    <row r="7" spans="1:8" x14ac:dyDescent="0.25">
      <c r="A7" s="41">
        <v>45689</v>
      </c>
      <c r="B7" s="42" t="s">
        <v>12</v>
      </c>
      <c r="C7" s="42">
        <v>1</v>
      </c>
      <c r="D7" s="9">
        <v>3</v>
      </c>
      <c r="E7" s="9">
        <f t="shared" si="0"/>
        <v>3</v>
      </c>
    </row>
    <row r="8" spans="1:8" x14ac:dyDescent="0.25">
      <c r="A8" s="41">
        <v>45687</v>
      </c>
      <c r="B8" s="42" t="s">
        <v>13</v>
      </c>
      <c r="C8" s="42">
        <v>3</v>
      </c>
      <c r="D8" s="9">
        <v>5.5</v>
      </c>
      <c r="E8" s="9">
        <f t="shared" si="0"/>
        <v>16.5</v>
      </c>
    </row>
    <row r="9" spans="1:8" x14ac:dyDescent="0.25">
      <c r="A9" s="41">
        <v>45687</v>
      </c>
      <c r="B9" s="42" t="s">
        <v>12</v>
      </c>
      <c r="C9" s="42">
        <v>1</v>
      </c>
      <c r="D9" s="9">
        <v>3.5</v>
      </c>
      <c r="E9" s="9">
        <f t="shared" si="0"/>
        <v>3.5</v>
      </c>
    </row>
    <row r="10" spans="1:8" x14ac:dyDescent="0.25">
      <c r="A10" s="41">
        <v>45687</v>
      </c>
      <c r="B10" s="42" t="s">
        <v>14</v>
      </c>
      <c r="C10" s="42">
        <v>1</v>
      </c>
      <c r="D10" s="9">
        <v>0.75</v>
      </c>
      <c r="E10" s="9">
        <f t="shared" si="0"/>
        <v>0.75</v>
      </c>
    </row>
    <row r="11" spans="1:8" x14ac:dyDescent="0.25">
      <c r="A11" s="41">
        <v>45687</v>
      </c>
      <c r="B11" s="42" t="s">
        <v>11</v>
      </c>
      <c r="C11" s="42">
        <v>1</v>
      </c>
      <c r="D11" s="9">
        <v>1.5</v>
      </c>
      <c r="E11" s="9">
        <f t="shared" si="0"/>
        <v>1.5</v>
      </c>
    </row>
    <row r="12" spans="1:8" x14ac:dyDescent="0.25">
      <c r="A12" s="41">
        <v>45687</v>
      </c>
      <c r="B12" s="42" t="s">
        <v>15</v>
      </c>
      <c r="C12" s="42">
        <v>1</v>
      </c>
      <c r="D12" s="9">
        <v>1</v>
      </c>
      <c r="E12" s="9">
        <f t="shared" si="0"/>
        <v>1</v>
      </c>
    </row>
    <row r="13" spans="1:8" x14ac:dyDescent="0.25">
      <c r="A13" s="41">
        <v>45687</v>
      </c>
      <c r="B13" s="42" t="s">
        <v>16</v>
      </c>
      <c r="C13" s="42">
        <v>1</v>
      </c>
      <c r="D13" s="9">
        <v>5.5</v>
      </c>
      <c r="E13" s="9">
        <f t="shared" si="0"/>
        <v>5.5</v>
      </c>
    </row>
    <row r="14" spans="1:8" x14ac:dyDescent="0.25">
      <c r="A14" s="41">
        <v>45687</v>
      </c>
      <c r="B14" s="42" t="s">
        <v>8</v>
      </c>
      <c r="C14" s="42">
        <v>1</v>
      </c>
      <c r="D14" s="9">
        <v>1.5</v>
      </c>
      <c r="E14" s="9">
        <f t="shared" si="0"/>
        <v>1.5</v>
      </c>
    </row>
    <row r="15" spans="1:8" x14ac:dyDescent="0.25">
      <c r="A15" s="41">
        <v>45687</v>
      </c>
      <c r="B15" s="42" t="s">
        <v>17</v>
      </c>
      <c r="C15" s="42">
        <v>1</v>
      </c>
      <c r="D15" s="9">
        <v>1.5</v>
      </c>
      <c r="E15" s="9">
        <f t="shared" si="0"/>
        <v>1.5</v>
      </c>
    </row>
    <row r="16" spans="1:8" x14ac:dyDescent="0.25">
      <c r="A16" s="41">
        <v>45697</v>
      </c>
      <c r="B16" s="42" t="s">
        <v>18</v>
      </c>
      <c r="C16" s="42">
        <v>3</v>
      </c>
      <c r="D16" s="9">
        <v>0.75</v>
      </c>
      <c r="E16" s="9">
        <f t="shared" si="0"/>
        <v>2.25</v>
      </c>
    </row>
    <row r="17" spans="1:5" x14ac:dyDescent="0.25">
      <c r="A17" s="41">
        <v>45697</v>
      </c>
      <c r="B17" s="42" t="s">
        <v>19</v>
      </c>
      <c r="C17" s="42">
        <v>1</v>
      </c>
      <c r="D17" s="9">
        <v>0.75</v>
      </c>
      <c r="E17" s="9">
        <f t="shared" si="0"/>
        <v>0.75</v>
      </c>
    </row>
    <row r="18" spans="1:5" x14ac:dyDescent="0.25">
      <c r="A18" s="41">
        <v>45697</v>
      </c>
      <c r="B18" s="42" t="s">
        <v>20</v>
      </c>
      <c r="C18" s="42">
        <v>1</v>
      </c>
      <c r="D18" s="9">
        <v>0.5</v>
      </c>
      <c r="E18" s="9">
        <f t="shared" si="0"/>
        <v>0.5</v>
      </c>
    </row>
    <row r="19" spans="1:5" x14ac:dyDescent="0.25">
      <c r="A19" s="41">
        <v>45697</v>
      </c>
      <c r="B19" s="42" t="s">
        <v>21</v>
      </c>
      <c r="C19" s="42">
        <v>1</v>
      </c>
      <c r="D19" s="9">
        <v>0.5</v>
      </c>
      <c r="E19" s="9">
        <f t="shared" si="0"/>
        <v>0.5</v>
      </c>
    </row>
    <row r="20" spans="1:5" x14ac:dyDescent="0.25">
      <c r="A20" s="42" t="s">
        <v>22</v>
      </c>
      <c r="B20" s="42" t="s">
        <v>23</v>
      </c>
      <c r="C20" s="42">
        <v>6</v>
      </c>
      <c r="D20" s="9">
        <v>0.75</v>
      </c>
      <c r="E20" s="9">
        <f t="shared" si="0"/>
        <v>4.5</v>
      </c>
    </row>
    <row r="21" spans="1:5" x14ac:dyDescent="0.25">
      <c r="A21" s="41">
        <v>45697</v>
      </c>
      <c r="B21" s="42" t="s">
        <v>24</v>
      </c>
      <c r="C21" s="42">
        <v>1</v>
      </c>
      <c r="D21" s="9">
        <v>3.5</v>
      </c>
      <c r="E21" s="9">
        <f t="shared" si="0"/>
        <v>3.5</v>
      </c>
    </row>
    <row r="22" spans="1:5" x14ac:dyDescent="0.25">
      <c r="A22" s="41">
        <v>45697</v>
      </c>
      <c r="B22" s="42" t="s">
        <v>9</v>
      </c>
      <c r="C22" s="42">
        <v>1</v>
      </c>
      <c r="D22" s="9">
        <v>0.75</v>
      </c>
      <c r="E22" s="9">
        <f t="shared" si="0"/>
        <v>0.75</v>
      </c>
    </row>
    <row r="23" spans="1:5" x14ac:dyDescent="0.25">
      <c r="A23" s="41">
        <v>45697</v>
      </c>
      <c r="B23" s="42" t="s">
        <v>25</v>
      </c>
      <c r="C23" s="42">
        <v>1</v>
      </c>
      <c r="D23" s="9">
        <v>1.5</v>
      </c>
      <c r="E23" s="9">
        <f t="shared" si="0"/>
        <v>1.5</v>
      </c>
    </row>
    <row r="24" spans="1:5" x14ac:dyDescent="0.25">
      <c r="A24" s="41">
        <v>45697</v>
      </c>
      <c r="B24" s="42" t="s">
        <v>26</v>
      </c>
      <c r="C24" s="42">
        <v>1</v>
      </c>
      <c r="D24" s="9">
        <v>1</v>
      </c>
      <c r="E24" s="9">
        <f t="shared" si="0"/>
        <v>1</v>
      </c>
    </row>
    <row r="25" spans="1:5" x14ac:dyDescent="0.25">
      <c r="A25" s="41">
        <v>45697</v>
      </c>
      <c r="B25" s="42" t="s">
        <v>12</v>
      </c>
      <c r="C25" s="42">
        <v>6</v>
      </c>
      <c r="D25" s="9">
        <v>3.5</v>
      </c>
      <c r="E25" s="9">
        <f t="shared" si="0"/>
        <v>21</v>
      </c>
    </row>
    <row r="26" spans="1:5" x14ac:dyDescent="0.25">
      <c r="A26" s="41">
        <v>45697</v>
      </c>
      <c r="B26" s="42" t="s">
        <v>27</v>
      </c>
      <c r="C26" s="42">
        <v>1</v>
      </c>
      <c r="D26" s="9">
        <v>0.5</v>
      </c>
      <c r="E26" s="9">
        <f t="shared" si="0"/>
        <v>0.5</v>
      </c>
    </row>
    <row r="27" spans="1:5" x14ac:dyDescent="0.25">
      <c r="A27" s="42" t="s">
        <v>28</v>
      </c>
      <c r="B27" s="42" t="s">
        <v>29</v>
      </c>
      <c r="C27" s="42">
        <v>2</v>
      </c>
      <c r="D27" s="9">
        <v>5.5</v>
      </c>
      <c r="E27" s="9">
        <f t="shared" si="0"/>
        <v>11</v>
      </c>
    </row>
    <row r="28" spans="1:5" x14ac:dyDescent="0.25">
      <c r="A28" s="41" t="s">
        <v>28</v>
      </c>
      <c r="B28" s="42" t="s">
        <v>24</v>
      </c>
      <c r="C28" s="42">
        <v>1</v>
      </c>
      <c r="D28" s="9">
        <v>3.5</v>
      </c>
      <c r="E28" s="9">
        <f t="shared" si="0"/>
        <v>3.5</v>
      </c>
    </row>
    <row r="29" spans="1:5" x14ac:dyDescent="0.25">
      <c r="A29" s="41" t="s">
        <v>28</v>
      </c>
      <c r="B29" s="42" t="s">
        <v>27</v>
      </c>
      <c r="C29" s="42">
        <v>1</v>
      </c>
      <c r="D29" s="9">
        <v>0.5</v>
      </c>
      <c r="E29" s="9">
        <f t="shared" si="0"/>
        <v>0.5</v>
      </c>
    </row>
    <row r="30" spans="1:5" x14ac:dyDescent="0.25">
      <c r="A30" s="41" t="s">
        <v>28</v>
      </c>
      <c r="B30" s="42" t="s">
        <v>12</v>
      </c>
      <c r="C30" s="42">
        <v>4</v>
      </c>
      <c r="D30" s="9">
        <v>3.5</v>
      </c>
      <c r="E30" s="9">
        <f t="shared" si="0"/>
        <v>14</v>
      </c>
    </row>
    <row r="31" spans="1:5" x14ac:dyDescent="0.25">
      <c r="A31" s="41" t="s">
        <v>28</v>
      </c>
      <c r="B31" s="42" t="s">
        <v>18</v>
      </c>
      <c r="C31" s="42">
        <v>3</v>
      </c>
      <c r="D31" s="9">
        <v>1</v>
      </c>
      <c r="E31" s="9">
        <f t="shared" si="0"/>
        <v>3</v>
      </c>
    </row>
    <row r="32" spans="1:5" x14ac:dyDescent="0.25">
      <c r="A32" s="42" t="s">
        <v>28</v>
      </c>
      <c r="B32" s="42" t="s">
        <v>30</v>
      </c>
      <c r="C32" s="42">
        <v>1</v>
      </c>
      <c r="D32" s="9">
        <v>1</v>
      </c>
      <c r="E32" s="9">
        <f t="shared" si="0"/>
        <v>1</v>
      </c>
    </row>
    <row r="33" spans="1:5" x14ac:dyDescent="0.25">
      <c r="A33" s="41" t="s">
        <v>28</v>
      </c>
      <c r="B33" s="42" t="s">
        <v>29</v>
      </c>
      <c r="C33" s="42">
        <v>5</v>
      </c>
      <c r="D33" s="9">
        <v>5.5</v>
      </c>
      <c r="E33" s="9">
        <f t="shared" si="0"/>
        <v>27.5</v>
      </c>
    </row>
    <row r="34" spans="1:5" x14ac:dyDescent="0.25">
      <c r="A34" s="41" t="s">
        <v>28</v>
      </c>
      <c r="B34" s="42" t="s">
        <v>31</v>
      </c>
      <c r="C34" s="42">
        <v>3</v>
      </c>
      <c r="D34" s="9">
        <v>1</v>
      </c>
      <c r="E34" s="9">
        <f t="shared" si="0"/>
        <v>3</v>
      </c>
    </row>
    <row r="35" spans="1:5" x14ac:dyDescent="0.25">
      <c r="A35" s="41" t="s">
        <v>28</v>
      </c>
      <c r="B35" s="42" t="s">
        <v>24</v>
      </c>
      <c r="C35" s="42">
        <v>1</v>
      </c>
      <c r="D35" s="9">
        <v>3.5</v>
      </c>
      <c r="E35" s="9">
        <f t="shared" si="0"/>
        <v>3.5</v>
      </c>
    </row>
    <row r="36" spans="1:5" x14ac:dyDescent="0.25">
      <c r="A36" s="41" t="s">
        <v>32</v>
      </c>
      <c r="B36" s="42" t="s">
        <v>12</v>
      </c>
      <c r="C36" s="42">
        <v>4</v>
      </c>
      <c r="D36" s="9">
        <v>3.5</v>
      </c>
      <c r="E36" s="9">
        <f t="shared" si="0"/>
        <v>14</v>
      </c>
    </row>
    <row r="37" spans="1:5" x14ac:dyDescent="0.25">
      <c r="A37" s="41" t="s">
        <v>32</v>
      </c>
      <c r="B37" s="42" t="s">
        <v>33</v>
      </c>
      <c r="C37" s="42">
        <v>2</v>
      </c>
      <c r="D37" s="9">
        <v>0.25</v>
      </c>
      <c r="E37" s="9">
        <f t="shared" si="0"/>
        <v>0.5</v>
      </c>
    </row>
    <row r="38" spans="1:5" x14ac:dyDescent="0.25">
      <c r="A38" s="41" t="s">
        <v>32</v>
      </c>
      <c r="B38" s="42" t="s">
        <v>34</v>
      </c>
      <c r="C38" s="42">
        <v>1</v>
      </c>
      <c r="D38" s="9">
        <v>0.25</v>
      </c>
      <c r="E38" s="9">
        <f t="shared" si="0"/>
        <v>0.25</v>
      </c>
    </row>
    <row r="39" spans="1:5" x14ac:dyDescent="0.25">
      <c r="A39" s="42" t="s">
        <v>32</v>
      </c>
      <c r="B39" s="42" t="s">
        <v>35</v>
      </c>
      <c r="C39" s="42">
        <v>1</v>
      </c>
      <c r="D39" s="9">
        <v>0.75</v>
      </c>
      <c r="E39" s="9">
        <f t="shared" si="0"/>
        <v>0.75</v>
      </c>
    </row>
    <row r="40" spans="1:5" x14ac:dyDescent="0.25">
      <c r="A40" s="41" t="s">
        <v>32</v>
      </c>
      <c r="B40" s="42" t="s">
        <v>36</v>
      </c>
      <c r="C40" s="42">
        <v>1</v>
      </c>
      <c r="D40" s="9">
        <v>0.75</v>
      </c>
      <c r="E40" s="9">
        <f t="shared" si="0"/>
        <v>0.75</v>
      </c>
    </row>
    <row r="41" spans="1:5" x14ac:dyDescent="0.25">
      <c r="A41" s="41">
        <v>45661</v>
      </c>
      <c r="B41" s="42" t="s">
        <v>24</v>
      </c>
      <c r="C41" s="42">
        <v>1</v>
      </c>
      <c r="D41" s="9">
        <v>4</v>
      </c>
      <c r="E41" s="9">
        <f t="shared" si="0"/>
        <v>4</v>
      </c>
    </row>
    <row r="42" spans="1:5" x14ac:dyDescent="0.25">
      <c r="A42" s="41">
        <v>45661</v>
      </c>
      <c r="B42" s="42" t="s">
        <v>27</v>
      </c>
      <c r="C42" s="42">
        <v>1</v>
      </c>
      <c r="D42" s="9">
        <v>0.5</v>
      </c>
      <c r="E42" s="9">
        <f t="shared" si="0"/>
        <v>0.5</v>
      </c>
    </row>
    <row r="43" spans="1:5" x14ac:dyDescent="0.25">
      <c r="A43" s="41">
        <v>45965</v>
      </c>
      <c r="B43" s="42" t="s">
        <v>37</v>
      </c>
      <c r="C43" s="42">
        <v>1</v>
      </c>
      <c r="D43" s="9">
        <v>7</v>
      </c>
      <c r="E43" s="9">
        <f t="shared" si="0"/>
        <v>7</v>
      </c>
    </row>
    <row r="44" spans="1:5" x14ac:dyDescent="0.25">
      <c r="A44" s="41">
        <v>45965</v>
      </c>
      <c r="B44" s="42" t="s">
        <v>38</v>
      </c>
      <c r="C44" s="42">
        <v>2</v>
      </c>
      <c r="D44" s="9">
        <v>6.5</v>
      </c>
      <c r="E44" s="9">
        <f t="shared" si="0"/>
        <v>13</v>
      </c>
    </row>
    <row r="45" spans="1:5" x14ac:dyDescent="0.25">
      <c r="A45" s="41">
        <v>45965</v>
      </c>
      <c r="B45" s="42" t="s">
        <v>39</v>
      </c>
      <c r="C45" s="42">
        <v>1</v>
      </c>
      <c r="D45" s="9">
        <v>1.5</v>
      </c>
      <c r="E45" s="9">
        <f t="shared" si="0"/>
        <v>1.5</v>
      </c>
    </row>
    <row r="46" spans="1:5" x14ac:dyDescent="0.25">
      <c r="A46" s="41">
        <v>45965</v>
      </c>
      <c r="B46" s="42" t="s">
        <v>24</v>
      </c>
      <c r="C46" s="42">
        <v>1</v>
      </c>
      <c r="D46" s="9">
        <v>3.5</v>
      </c>
      <c r="E46" s="9">
        <f t="shared" si="0"/>
        <v>3.5</v>
      </c>
    </row>
    <row r="47" spans="1:5" x14ac:dyDescent="0.25">
      <c r="A47" s="42" t="s">
        <v>40</v>
      </c>
      <c r="B47" s="42" t="s">
        <v>41</v>
      </c>
      <c r="C47" s="42">
        <v>1</v>
      </c>
      <c r="D47" s="9">
        <v>6.5</v>
      </c>
      <c r="E47" s="9">
        <f t="shared" si="0"/>
        <v>6.5</v>
      </c>
    </row>
    <row r="48" spans="1:5" x14ac:dyDescent="0.25">
      <c r="A48" s="42" t="s">
        <v>40</v>
      </c>
      <c r="B48" s="42" t="s">
        <v>42</v>
      </c>
      <c r="C48" s="42">
        <v>2</v>
      </c>
      <c r="D48" s="9">
        <v>1</v>
      </c>
      <c r="E48" s="9">
        <f t="shared" si="0"/>
        <v>2</v>
      </c>
    </row>
    <row r="49" spans="1:5" x14ac:dyDescent="0.25">
      <c r="A49" s="42" t="s">
        <v>40</v>
      </c>
      <c r="B49" s="42" t="s">
        <v>24</v>
      </c>
      <c r="C49" s="42">
        <v>1</v>
      </c>
      <c r="D49" s="9">
        <v>3.5</v>
      </c>
      <c r="E49" s="9">
        <f t="shared" si="0"/>
        <v>3.5</v>
      </c>
    </row>
    <row r="50" spans="1:5" x14ac:dyDescent="0.25">
      <c r="A50" s="42" t="s">
        <v>43</v>
      </c>
      <c r="B50" s="42" t="s">
        <v>20</v>
      </c>
      <c r="C50" s="42">
        <v>2</v>
      </c>
      <c r="D50" s="9">
        <v>0.5</v>
      </c>
      <c r="E50" s="9">
        <f t="shared" si="0"/>
        <v>1</v>
      </c>
    </row>
    <row r="51" spans="1:5" x14ac:dyDescent="0.25">
      <c r="A51" s="42" t="s">
        <v>40</v>
      </c>
      <c r="B51" s="42" t="s">
        <v>44</v>
      </c>
      <c r="C51" s="42">
        <v>2</v>
      </c>
      <c r="D51" s="9">
        <v>3.5</v>
      </c>
      <c r="E51" s="9">
        <f t="shared" si="0"/>
        <v>7</v>
      </c>
    </row>
    <row r="52" spans="1:5" x14ac:dyDescent="0.25">
      <c r="A52" s="42" t="s">
        <v>43</v>
      </c>
      <c r="B52" s="42" t="s">
        <v>24</v>
      </c>
      <c r="C52" s="42">
        <v>1</v>
      </c>
      <c r="D52" s="9">
        <v>4</v>
      </c>
      <c r="E52" s="9">
        <f t="shared" si="0"/>
        <v>4</v>
      </c>
    </row>
    <row r="53" spans="1:5" x14ac:dyDescent="0.25">
      <c r="A53" s="41">
        <v>45966</v>
      </c>
      <c r="B53" s="42" t="s">
        <v>45</v>
      </c>
      <c r="C53" s="42">
        <v>1</v>
      </c>
      <c r="D53" s="9">
        <v>1.5</v>
      </c>
      <c r="E53" s="9">
        <f t="shared" si="0"/>
        <v>1.5</v>
      </c>
    </row>
    <row r="54" spans="1:5" x14ac:dyDescent="0.25">
      <c r="A54" s="41">
        <v>45724</v>
      </c>
      <c r="B54" s="42" t="s">
        <v>46</v>
      </c>
      <c r="C54" s="42">
        <v>1</v>
      </c>
      <c r="D54" s="9">
        <v>1.5</v>
      </c>
      <c r="E54" s="9">
        <f t="shared" si="0"/>
        <v>1.5</v>
      </c>
    </row>
    <row r="55" spans="1:5" x14ac:dyDescent="0.25">
      <c r="A55" s="41">
        <v>45887</v>
      </c>
      <c r="B55" s="42" t="s">
        <v>24</v>
      </c>
      <c r="C55" s="42">
        <v>1</v>
      </c>
      <c r="D55" s="9">
        <v>3.5</v>
      </c>
      <c r="E55" s="9">
        <f t="shared" si="0"/>
        <v>3.5</v>
      </c>
    </row>
    <row r="56" spans="1:5" x14ac:dyDescent="0.25">
      <c r="A56" s="41">
        <v>45893</v>
      </c>
      <c r="B56" s="42" t="s">
        <v>47</v>
      </c>
      <c r="C56" s="42">
        <v>1</v>
      </c>
      <c r="D56" s="9">
        <v>0.75</v>
      </c>
      <c r="E56" s="9">
        <f t="shared" si="0"/>
        <v>0.75</v>
      </c>
    </row>
    <row r="57" spans="1:5" x14ac:dyDescent="0.25">
      <c r="A57" s="41">
        <v>45893</v>
      </c>
      <c r="B57" s="42" t="s">
        <v>25</v>
      </c>
      <c r="C57" s="42">
        <v>1</v>
      </c>
      <c r="D57" s="9">
        <v>1.5</v>
      </c>
      <c r="E57" s="9">
        <f t="shared" si="0"/>
        <v>1.5</v>
      </c>
    </row>
    <row r="58" spans="1:5" x14ac:dyDescent="0.25">
      <c r="A58" s="41">
        <v>45893</v>
      </c>
      <c r="B58" s="42" t="s">
        <v>48</v>
      </c>
      <c r="C58" s="42">
        <v>1</v>
      </c>
      <c r="D58" s="9">
        <v>1.5</v>
      </c>
      <c r="E58" s="9">
        <f t="shared" si="0"/>
        <v>1.5</v>
      </c>
    </row>
    <row r="59" spans="1:5" x14ac:dyDescent="0.25">
      <c r="A59" s="41">
        <v>45948</v>
      </c>
      <c r="B59" s="42" t="s">
        <v>49</v>
      </c>
      <c r="C59" s="42">
        <v>1</v>
      </c>
      <c r="D59" s="9">
        <v>3</v>
      </c>
      <c r="E59" s="9">
        <f t="shared" si="0"/>
        <v>3</v>
      </c>
    </row>
    <row r="60" spans="1:5" x14ac:dyDescent="0.25">
      <c r="A60" s="41">
        <v>45948</v>
      </c>
      <c r="B60" s="42" t="s">
        <v>27</v>
      </c>
      <c r="C60" s="42">
        <v>1</v>
      </c>
      <c r="D60" s="9">
        <v>0.5</v>
      </c>
      <c r="E60" s="9">
        <f t="shared" si="0"/>
        <v>0.5</v>
      </c>
    </row>
    <row r="61" spans="1:5" x14ac:dyDescent="0.25">
      <c r="A61" s="41">
        <v>45948</v>
      </c>
      <c r="B61" s="42" t="s">
        <v>50</v>
      </c>
      <c r="C61" s="42">
        <v>1</v>
      </c>
      <c r="D61" s="9">
        <v>3</v>
      </c>
      <c r="E61" s="9">
        <f t="shared" si="0"/>
        <v>3</v>
      </c>
    </row>
    <row r="62" spans="1:5" x14ac:dyDescent="0.25">
      <c r="A62" s="41">
        <v>45948</v>
      </c>
      <c r="B62" s="42" t="s">
        <v>9</v>
      </c>
      <c r="C62" s="42">
        <v>1</v>
      </c>
      <c r="D62" s="9">
        <v>1</v>
      </c>
      <c r="E62" s="9">
        <f t="shared" si="0"/>
        <v>1</v>
      </c>
    </row>
    <row r="63" spans="1:5" x14ac:dyDescent="0.25">
      <c r="A63" s="41">
        <v>45948</v>
      </c>
      <c r="B63" s="42" t="s">
        <v>51</v>
      </c>
      <c r="C63" s="42">
        <v>1</v>
      </c>
      <c r="D63" s="9">
        <v>1</v>
      </c>
      <c r="E63" s="9">
        <f t="shared" si="0"/>
        <v>1</v>
      </c>
    </row>
    <row r="64" spans="1:5" x14ac:dyDescent="0.25">
      <c r="A64" s="31">
        <v>45948</v>
      </c>
      <c r="B64" s="43" t="s">
        <v>36</v>
      </c>
      <c r="C64" s="43">
        <v>1</v>
      </c>
      <c r="D64" s="34">
        <v>1</v>
      </c>
      <c r="E64" s="34">
        <f t="shared" si="0"/>
        <v>1</v>
      </c>
    </row>
    <row r="65" spans="1:5" x14ac:dyDescent="0.25">
      <c r="A65" s="31">
        <v>45948</v>
      </c>
      <c r="B65" s="31" t="s">
        <v>52</v>
      </c>
      <c r="C65" s="43">
        <v>1</v>
      </c>
      <c r="D65" s="34">
        <v>1</v>
      </c>
      <c r="E65" s="34">
        <f t="shared" si="0"/>
        <v>1</v>
      </c>
    </row>
    <row r="66" spans="1:5" x14ac:dyDescent="0.25">
      <c r="A66" s="31">
        <v>45949</v>
      </c>
      <c r="B66" s="44" t="s">
        <v>53</v>
      </c>
      <c r="C66" s="43">
        <v>1</v>
      </c>
      <c r="D66" s="34">
        <v>3.5</v>
      </c>
      <c r="E66" s="34">
        <f t="shared" si="0"/>
        <v>3.5</v>
      </c>
    </row>
    <row r="67" spans="1:5" x14ac:dyDescent="0.25">
      <c r="A67" s="31">
        <v>45950</v>
      </c>
      <c r="B67" s="44" t="s">
        <v>24</v>
      </c>
      <c r="C67" s="43">
        <v>1</v>
      </c>
      <c r="D67" s="34">
        <v>4</v>
      </c>
      <c r="E67" s="34">
        <f t="shared" si="0"/>
        <v>4</v>
      </c>
    </row>
    <row r="68" spans="1:5" x14ac:dyDescent="0.25">
      <c r="A68" s="31">
        <v>45950</v>
      </c>
      <c r="B68" s="44" t="s">
        <v>24</v>
      </c>
      <c r="C68" s="43">
        <v>1</v>
      </c>
      <c r="D68" s="34">
        <v>4</v>
      </c>
      <c r="E68" s="34">
        <f t="shared" si="0"/>
        <v>4</v>
      </c>
    </row>
    <row r="69" spans="1:5" x14ac:dyDescent="0.25">
      <c r="A69" s="31">
        <v>45951</v>
      </c>
      <c r="B69" s="44" t="s">
        <v>54</v>
      </c>
      <c r="C69" s="43">
        <v>1</v>
      </c>
      <c r="D69" s="34">
        <v>1</v>
      </c>
      <c r="E69" s="34">
        <f t="shared" si="0"/>
        <v>1</v>
      </c>
    </row>
    <row r="70" spans="1:5" x14ac:dyDescent="0.25">
      <c r="A70" s="31">
        <v>45951</v>
      </c>
      <c r="B70" s="44" t="s">
        <v>55</v>
      </c>
      <c r="C70" s="43">
        <v>1</v>
      </c>
      <c r="D70" s="34">
        <v>0.75</v>
      </c>
      <c r="E70" s="34">
        <f t="shared" si="0"/>
        <v>0.75</v>
      </c>
    </row>
    <row r="71" spans="1:5" x14ac:dyDescent="0.25">
      <c r="A71" s="31">
        <v>45952</v>
      </c>
      <c r="B71" s="44" t="s">
        <v>56</v>
      </c>
      <c r="C71" s="43">
        <v>1</v>
      </c>
      <c r="D71" s="34">
        <v>0.75</v>
      </c>
      <c r="E71" s="34">
        <f t="shared" si="0"/>
        <v>0.75</v>
      </c>
    </row>
    <row r="72" spans="1:5" x14ac:dyDescent="0.25">
      <c r="A72" s="31">
        <v>45952</v>
      </c>
      <c r="B72" s="44" t="s">
        <v>54</v>
      </c>
      <c r="C72" s="43">
        <v>1</v>
      </c>
      <c r="D72" s="34">
        <v>0.75</v>
      </c>
      <c r="E72" s="34">
        <f t="shared" si="0"/>
        <v>0.75</v>
      </c>
    </row>
    <row r="73" spans="1:5" x14ac:dyDescent="0.25">
      <c r="A73" s="31">
        <v>45957</v>
      </c>
      <c r="B73" s="44" t="s">
        <v>57</v>
      </c>
      <c r="C73" s="43">
        <v>3</v>
      </c>
      <c r="D73" s="34">
        <v>0.5</v>
      </c>
      <c r="E73" s="34">
        <f t="shared" si="0"/>
        <v>1.5</v>
      </c>
    </row>
    <row r="74" spans="1:5" x14ac:dyDescent="0.25">
      <c r="A74" s="31">
        <v>45985</v>
      </c>
      <c r="B74" s="44" t="s">
        <v>58</v>
      </c>
      <c r="C74" s="43">
        <v>1</v>
      </c>
      <c r="D74" s="34">
        <v>2</v>
      </c>
      <c r="E74" s="34">
        <f t="shared" si="0"/>
        <v>2</v>
      </c>
    </row>
    <row r="75" spans="1:5" x14ac:dyDescent="0.25">
      <c r="A75" s="31">
        <v>45985</v>
      </c>
      <c r="B75" s="44" t="s">
        <v>59</v>
      </c>
      <c r="C75" s="43">
        <v>1</v>
      </c>
      <c r="D75" s="34">
        <v>1.5</v>
      </c>
      <c r="E75" s="34">
        <f t="shared" si="0"/>
        <v>1.5</v>
      </c>
    </row>
    <row r="76" spans="1:5" x14ac:dyDescent="0.25">
      <c r="A76" s="31">
        <v>45985</v>
      </c>
      <c r="B76" s="44" t="s">
        <v>60</v>
      </c>
      <c r="C76" s="43">
        <v>1</v>
      </c>
      <c r="D76" s="34">
        <v>1.5</v>
      </c>
      <c r="E76" s="34">
        <f t="shared" si="0"/>
        <v>1.5</v>
      </c>
    </row>
    <row r="77" spans="1:5" x14ac:dyDescent="0.25">
      <c r="A77" s="31">
        <v>45985</v>
      </c>
      <c r="B77" s="44" t="s">
        <v>61</v>
      </c>
      <c r="C77" s="43">
        <v>1</v>
      </c>
      <c r="D77" s="34">
        <v>0.5</v>
      </c>
      <c r="E77" s="34">
        <f t="shared" si="0"/>
        <v>0.5</v>
      </c>
    </row>
    <row r="78" spans="1:5" x14ac:dyDescent="0.25">
      <c r="A78" s="37"/>
      <c r="B78" s="37"/>
      <c r="C78" s="37"/>
      <c r="D78" s="34"/>
      <c r="E78" s="34"/>
    </row>
    <row r="79" spans="1:5" x14ac:dyDescent="0.25">
      <c r="A79" s="37"/>
      <c r="B79" s="37"/>
      <c r="C79" s="37"/>
      <c r="D79" s="34"/>
      <c r="E79" s="34">
        <f>SUM(E2:E78)</f>
        <v>260.75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36"/>
  <sheetViews>
    <sheetView topLeftCell="A19" workbookViewId="0">
      <selection activeCell="F35" sqref="F35"/>
    </sheetView>
  </sheetViews>
  <sheetFormatPr defaultRowHeight="14.85" x14ac:dyDescent="0.25"/>
  <cols>
    <col min="1" max="1" width="11.875" bestFit="1" customWidth="1"/>
    <col min="2" max="2" width="29.875" bestFit="1" customWidth="1"/>
    <col min="3" max="3" width="5.875" bestFit="1" customWidth="1"/>
    <col min="4" max="4" width="8" bestFit="1" customWidth="1"/>
    <col min="5" max="5" width="13.25" bestFit="1" customWidth="1"/>
    <col min="6" max="8" width="10.5" bestFit="1" customWidth="1"/>
  </cols>
  <sheetData>
    <row r="1" spans="1:8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0</v>
      </c>
      <c r="G1" t="s">
        <v>1</v>
      </c>
      <c r="H1" t="s">
        <v>2</v>
      </c>
    </row>
    <row r="2" spans="1:8" ht="19.8" x14ac:dyDescent="0.4">
      <c r="A2" s="4" t="s">
        <v>62</v>
      </c>
      <c r="B2" s="5" t="s">
        <v>63</v>
      </c>
      <c r="C2" s="6">
        <v>150</v>
      </c>
      <c r="D2" s="7">
        <v>7</v>
      </c>
      <c r="E2" s="7">
        <f t="shared" ref="E2:E11" si="0">C2*D2</f>
        <v>1050</v>
      </c>
    </row>
    <row r="3" spans="1:8" ht="19.8" x14ac:dyDescent="0.4">
      <c r="A3" s="4" t="s">
        <v>62</v>
      </c>
      <c r="B3" s="5" t="s">
        <v>64</v>
      </c>
      <c r="C3" s="6">
        <v>10</v>
      </c>
      <c r="D3" s="7">
        <v>11</v>
      </c>
      <c r="E3" s="7">
        <f t="shared" si="0"/>
        <v>110</v>
      </c>
    </row>
    <row r="4" spans="1:8" ht="19.8" x14ac:dyDescent="0.4">
      <c r="A4" s="4" t="s">
        <v>62</v>
      </c>
      <c r="B4" s="5" t="s">
        <v>65</v>
      </c>
      <c r="C4" s="6">
        <v>20</v>
      </c>
      <c r="D4" s="7">
        <v>0.35</v>
      </c>
      <c r="E4" s="7">
        <f t="shared" si="0"/>
        <v>7</v>
      </c>
    </row>
    <row r="5" spans="1:8" ht="19.8" x14ac:dyDescent="0.4">
      <c r="A5" s="4" t="s">
        <v>66</v>
      </c>
      <c r="B5" s="5" t="s">
        <v>67</v>
      </c>
      <c r="C5" s="6">
        <v>1</v>
      </c>
      <c r="D5" s="7">
        <v>8</v>
      </c>
      <c r="E5" s="7">
        <f t="shared" si="0"/>
        <v>8</v>
      </c>
    </row>
    <row r="6" spans="1:8" ht="19.8" x14ac:dyDescent="0.4">
      <c r="A6" s="4" t="s">
        <v>68</v>
      </c>
      <c r="B6" s="5" t="s">
        <v>69</v>
      </c>
      <c r="C6" s="6">
        <v>94</v>
      </c>
      <c r="D6" s="7">
        <v>4</v>
      </c>
      <c r="E6" s="7">
        <f t="shared" si="0"/>
        <v>376</v>
      </c>
    </row>
    <row r="7" spans="1:8" ht="19.8" x14ac:dyDescent="0.4">
      <c r="A7" s="4" t="s">
        <v>70</v>
      </c>
      <c r="B7" s="5" t="s">
        <v>71</v>
      </c>
      <c r="C7" s="6">
        <v>15</v>
      </c>
      <c r="D7" s="7">
        <v>15</v>
      </c>
      <c r="E7" s="7">
        <f t="shared" si="0"/>
        <v>225</v>
      </c>
    </row>
    <row r="8" spans="1:8" ht="19.8" x14ac:dyDescent="0.4">
      <c r="A8" s="4" t="s">
        <v>70</v>
      </c>
      <c r="B8" s="5" t="s">
        <v>72</v>
      </c>
      <c r="C8" s="6">
        <v>15</v>
      </c>
      <c r="D8" s="7">
        <v>7</v>
      </c>
      <c r="E8" s="7">
        <f t="shared" si="0"/>
        <v>105</v>
      </c>
    </row>
    <row r="9" spans="1:8" ht="19.8" x14ac:dyDescent="0.4">
      <c r="A9" s="4" t="s">
        <v>70</v>
      </c>
      <c r="B9" s="5" t="s">
        <v>73</v>
      </c>
      <c r="C9" s="6">
        <v>6</v>
      </c>
      <c r="D9" s="7">
        <v>16</v>
      </c>
      <c r="E9" s="7">
        <f t="shared" si="0"/>
        <v>96</v>
      </c>
    </row>
    <row r="10" spans="1:8" ht="19.8" x14ac:dyDescent="0.4">
      <c r="A10" s="4" t="s">
        <v>68</v>
      </c>
      <c r="B10" s="5" t="s">
        <v>74</v>
      </c>
      <c r="C10" s="6">
        <v>24</v>
      </c>
      <c r="D10" s="7">
        <v>3.5</v>
      </c>
      <c r="E10" s="7">
        <f t="shared" si="0"/>
        <v>84</v>
      </c>
    </row>
    <row r="11" spans="1:8" ht="19.8" x14ac:dyDescent="0.4">
      <c r="A11" s="4" t="s">
        <v>68</v>
      </c>
      <c r="B11" s="5" t="s">
        <v>75</v>
      </c>
      <c r="C11" s="6">
        <v>15</v>
      </c>
      <c r="D11" s="7">
        <v>4</v>
      </c>
      <c r="E11" s="7">
        <f t="shared" si="0"/>
        <v>60</v>
      </c>
    </row>
    <row r="12" spans="1:8" ht="19.8" x14ac:dyDescent="0.4">
      <c r="A12" s="8">
        <v>45901</v>
      </c>
      <c r="B12" s="5" t="s">
        <v>76</v>
      </c>
      <c r="C12" s="6">
        <v>123</v>
      </c>
      <c r="D12" s="9">
        <v>3.84</v>
      </c>
      <c r="E12" s="9">
        <v>472.32</v>
      </c>
    </row>
    <row r="13" spans="1:8" ht="19.8" x14ac:dyDescent="0.4">
      <c r="A13" s="8">
        <v>45901</v>
      </c>
      <c r="B13" s="5" t="s">
        <v>77</v>
      </c>
      <c r="C13" s="6">
        <v>300</v>
      </c>
      <c r="D13" s="9">
        <v>1.7</v>
      </c>
      <c r="E13" s="9">
        <f t="shared" ref="E13:E33" si="1">C13*D13</f>
        <v>510</v>
      </c>
    </row>
    <row r="14" spans="1:8" ht="19.8" x14ac:dyDescent="0.4">
      <c r="A14" s="8">
        <v>45901</v>
      </c>
      <c r="B14" s="5" t="s">
        <v>78</v>
      </c>
      <c r="C14" s="6">
        <v>75</v>
      </c>
      <c r="D14" s="9">
        <v>3.5</v>
      </c>
      <c r="E14" s="9">
        <f t="shared" si="1"/>
        <v>262.5</v>
      </c>
    </row>
    <row r="15" spans="1:8" ht="19.8" x14ac:dyDescent="0.4">
      <c r="A15" s="8">
        <v>45901</v>
      </c>
      <c r="B15" s="5" t="s">
        <v>64</v>
      </c>
      <c r="C15" s="6">
        <v>3</v>
      </c>
      <c r="D15" s="9">
        <v>11</v>
      </c>
      <c r="E15" s="9">
        <f t="shared" si="1"/>
        <v>33</v>
      </c>
    </row>
    <row r="16" spans="1:8" ht="19.8" x14ac:dyDescent="0.4">
      <c r="A16" s="8">
        <v>45901</v>
      </c>
      <c r="B16" s="5" t="s">
        <v>79</v>
      </c>
      <c r="C16" s="6">
        <v>36</v>
      </c>
      <c r="D16" s="9">
        <v>4.6500000000000004</v>
      </c>
      <c r="E16" s="9">
        <f t="shared" si="1"/>
        <v>167.4</v>
      </c>
    </row>
    <row r="17" spans="1:5" ht="19.8" x14ac:dyDescent="0.4">
      <c r="A17" s="8">
        <v>45901</v>
      </c>
      <c r="B17" s="5" t="s">
        <v>80</v>
      </c>
      <c r="C17" s="6">
        <v>106</v>
      </c>
      <c r="D17" s="9">
        <v>4</v>
      </c>
      <c r="E17" s="9">
        <f t="shared" si="1"/>
        <v>424</v>
      </c>
    </row>
    <row r="18" spans="1:5" ht="19.8" x14ac:dyDescent="0.4">
      <c r="A18" s="8">
        <v>45910</v>
      </c>
      <c r="B18" s="5" t="s">
        <v>81</v>
      </c>
      <c r="C18" s="6">
        <v>1</v>
      </c>
      <c r="D18" s="9">
        <v>17</v>
      </c>
      <c r="E18" s="9">
        <f t="shared" si="1"/>
        <v>17</v>
      </c>
    </row>
    <row r="19" spans="1:5" ht="19.8" x14ac:dyDescent="0.4">
      <c r="A19" s="8">
        <v>45910</v>
      </c>
      <c r="B19" s="5" t="s">
        <v>82</v>
      </c>
      <c r="C19" s="6">
        <v>1</v>
      </c>
      <c r="D19" s="9">
        <v>17</v>
      </c>
      <c r="E19" s="9">
        <f t="shared" si="1"/>
        <v>17</v>
      </c>
    </row>
    <row r="20" spans="1:5" ht="19.8" x14ac:dyDescent="0.4">
      <c r="A20" s="8">
        <v>45910</v>
      </c>
      <c r="B20" s="5" t="s">
        <v>83</v>
      </c>
      <c r="C20" s="6">
        <v>1</v>
      </c>
      <c r="D20" s="9">
        <v>12</v>
      </c>
      <c r="E20" s="9">
        <f t="shared" si="1"/>
        <v>12</v>
      </c>
    </row>
    <row r="21" spans="1:5" ht="19.8" x14ac:dyDescent="0.4">
      <c r="A21" s="8">
        <v>45910</v>
      </c>
      <c r="B21" s="5" t="s">
        <v>84</v>
      </c>
      <c r="C21" s="6">
        <v>1</v>
      </c>
      <c r="D21" s="9">
        <v>7.5</v>
      </c>
      <c r="E21" s="9">
        <f t="shared" si="1"/>
        <v>7.5</v>
      </c>
    </row>
    <row r="22" spans="1:5" ht="19.8" x14ac:dyDescent="0.4">
      <c r="A22" s="8">
        <v>45910</v>
      </c>
      <c r="B22" s="5" t="s">
        <v>85</v>
      </c>
      <c r="C22" s="6">
        <v>3</v>
      </c>
      <c r="D22" s="9">
        <v>2</v>
      </c>
      <c r="E22" s="9">
        <f t="shared" si="1"/>
        <v>6</v>
      </c>
    </row>
    <row r="23" spans="1:5" ht="19.8" x14ac:dyDescent="0.4">
      <c r="A23" s="8">
        <f ca="1">A1:E238/10/2025</f>
        <v>0</v>
      </c>
      <c r="B23" s="5" t="s">
        <v>86</v>
      </c>
      <c r="C23" s="6">
        <v>2</v>
      </c>
      <c r="D23" s="9">
        <v>2</v>
      </c>
      <c r="E23" s="9">
        <f t="shared" si="1"/>
        <v>4</v>
      </c>
    </row>
    <row r="24" spans="1:5" ht="19.8" x14ac:dyDescent="0.4">
      <c r="A24" s="8">
        <v>45910</v>
      </c>
      <c r="B24" s="5" t="s">
        <v>87</v>
      </c>
      <c r="C24" s="6">
        <v>2</v>
      </c>
      <c r="D24" s="9">
        <v>27</v>
      </c>
      <c r="E24" s="9">
        <f t="shared" si="1"/>
        <v>54</v>
      </c>
    </row>
    <row r="25" spans="1:5" ht="19.8" x14ac:dyDescent="0.4">
      <c r="A25" s="8">
        <v>45911</v>
      </c>
      <c r="B25" s="5" t="s">
        <v>88</v>
      </c>
      <c r="C25" s="6">
        <v>1</v>
      </c>
      <c r="D25" s="9">
        <v>24.5</v>
      </c>
      <c r="E25" s="9">
        <f t="shared" si="1"/>
        <v>24.5</v>
      </c>
    </row>
    <row r="26" spans="1:5" ht="19.8" x14ac:dyDescent="0.4">
      <c r="A26" s="8">
        <v>45912</v>
      </c>
      <c r="B26" s="5" t="s">
        <v>89</v>
      </c>
      <c r="C26" s="6">
        <v>5</v>
      </c>
      <c r="D26" s="9">
        <v>1</v>
      </c>
      <c r="E26" s="9">
        <f t="shared" si="1"/>
        <v>5</v>
      </c>
    </row>
    <row r="27" spans="1:5" ht="19.8" x14ac:dyDescent="0.4">
      <c r="A27" s="8">
        <v>45913</v>
      </c>
      <c r="B27" s="5" t="s">
        <v>90</v>
      </c>
      <c r="C27" s="6">
        <v>1</v>
      </c>
      <c r="D27" s="9">
        <v>3</v>
      </c>
      <c r="E27" s="9">
        <f t="shared" si="1"/>
        <v>3</v>
      </c>
    </row>
    <row r="28" spans="1:5" ht="19.8" x14ac:dyDescent="0.4">
      <c r="A28" s="8">
        <v>45914</v>
      </c>
      <c r="B28" s="5" t="s">
        <v>91</v>
      </c>
      <c r="C28" s="6">
        <v>1</v>
      </c>
      <c r="D28" s="9">
        <v>5</v>
      </c>
      <c r="E28" s="9">
        <f t="shared" si="1"/>
        <v>5</v>
      </c>
    </row>
    <row r="29" spans="1:5" ht="19.8" x14ac:dyDescent="0.4">
      <c r="A29" s="8">
        <v>45915</v>
      </c>
      <c r="B29" s="5" t="s">
        <v>92</v>
      </c>
      <c r="C29" s="6">
        <v>1</v>
      </c>
      <c r="D29" s="9">
        <v>12</v>
      </c>
      <c r="E29" s="9">
        <f t="shared" si="1"/>
        <v>12</v>
      </c>
    </row>
    <row r="30" spans="1:5" ht="19.8" x14ac:dyDescent="0.4">
      <c r="A30" s="8">
        <v>45910</v>
      </c>
      <c r="B30" s="5" t="s">
        <v>93</v>
      </c>
      <c r="C30" s="6">
        <v>150</v>
      </c>
      <c r="D30" s="9">
        <v>3.6</v>
      </c>
      <c r="E30" s="9">
        <f t="shared" si="1"/>
        <v>540</v>
      </c>
    </row>
    <row r="31" spans="1:5" ht="19.8" x14ac:dyDescent="0.4">
      <c r="A31" s="8">
        <v>45910</v>
      </c>
      <c r="B31" s="5" t="s">
        <v>94</v>
      </c>
      <c r="C31" s="6">
        <v>30</v>
      </c>
      <c r="D31" s="9">
        <v>4.5999999999999996</v>
      </c>
      <c r="E31" s="9">
        <f t="shared" si="1"/>
        <v>138</v>
      </c>
    </row>
    <row r="32" spans="1:5" ht="19.8" x14ac:dyDescent="0.4">
      <c r="A32" s="8">
        <v>45910</v>
      </c>
      <c r="B32" s="5" t="s">
        <v>95</v>
      </c>
      <c r="C32" s="6">
        <v>5</v>
      </c>
      <c r="D32" s="9">
        <v>6.1</v>
      </c>
      <c r="E32" s="9">
        <f t="shared" si="1"/>
        <v>30.5</v>
      </c>
    </row>
    <row r="33" spans="1:5" ht="19.8" x14ac:dyDescent="0.4">
      <c r="A33" s="8">
        <v>45910</v>
      </c>
      <c r="B33" s="5" t="s">
        <v>96</v>
      </c>
      <c r="C33" s="6">
        <v>30</v>
      </c>
      <c r="D33" s="9">
        <v>2.1</v>
      </c>
      <c r="E33" s="9">
        <f t="shared" si="1"/>
        <v>63</v>
      </c>
    </row>
    <row r="34" spans="1:5" ht="26.15" x14ac:dyDescent="0.45">
      <c r="A34" s="10"/>
      <c r="B34" s="11"/>
      <c r="C34" s="11"/>
      <c r="D34" s="12"/>
      <c r="E34" s="12"/>
    </row>
    <row r="35" spans="1:5" ht="21.9" x14ac:dyDescent="0.4">
      <c r="A35" s="14"/>
      <c r="B35" s="15" t="s">
        <v>98</v>
      </c>
      <c r="C35" s="16"/>
      <c r="D35" s="17"/>
      <c r="E35" s="18">
        <f>SUBTOTAL(109,E1:E34)</f>
        <v>4928.72</v>
      </c>
    </row>
    <row r="36" spans="1:5" ht="19.8" x14ac:dyDescent="0.4">
      <c r="A36" s="8"/>
      <c r="B36" s="15" t="s">
        <v>99</v>
      </c>
      <c r="C36" s="16"/>
      <c r="D36" s="9"/>
      <c r="E36" s="9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33"/>
  <sheetViews>
    <sheetView topLeftCell="A10" workbookViewId="0">
      <selection activeCell="J6" sqref="J6"/>
    </sheetView>
  </sheetViews>
  <sheetFormatPr defaultRowHeight="14.85" x14ac:dyDescent="0.25"/>
  <cols>
    <col min="1" max="1" width="9.375" bestFit="1" customWidth="1"/>
    <col min="2" max="2" width="20.5" bestFit="1" customWidth="1"/>
    <col min="3" max="3" width="8.5" bestFit="1" customWidth="1"/>
    <col min="4" max="4" width="9.25" bestFit="1" customWidth="1"/>
    <col min="5" max="5" width="13" bestFit="1" customWidth="1"/>
    <col min="6" max="6" width="14" bestFit="1" customWidth="1"/>
    <col min="7" max="7" width="14.75" bestFit="1" customWidth="1"/>
    <col min="8" max="8" width="7.375" bestFit="1" customWidth="1"/>
    <col min="9" max="9" width="9.375" bestFit="1" customWidth="1"/>
  </cols>
  <sheetData>
    <row r="1" spans="1:9" ht="24.7" x14ac:dyDescent="0.5">
      <c r="A1" s="142" t="s">
        <v>284</v>
      </c>
      <c r="B1" s="142" t="s">
        <v>285</v>
      </c>
      <c r="C1" s="142" t="s">
        <v>286</v>
      </c>
      <c r="D1" s="143" t="s">
        <v>6</v>
      </c>
      <c r="E1" s="143" t="s">
        <v>7</v>
      </c>
      <c r="F1" s="144" t="s">
        <v>287</v>
      </c>
      <c r="G1" s="144" t="s">
        <v>288</v>
      </c>
      <c r="H1" s="145"/>
    </row>
    <row r="2" spans="1:9" ht="21.2" x14ac:dyDescent="0.35">
      <c r="A2" s="146">
        <v>45860</v>
      </c>
      <c r="B2" s="147" t="s">
        <v>289</v>
      </c>
      <c r="C2" s="148">
        <v>8</v>
      </c>
      <c r="D2" s="149">
        <v>6.5</v>
      </c>
      <c r="E2" s="149">
        <f t="shared" ref="E2:E11" si="0">C2*D2</f>
        <v>52</v>
      </c>
      <c r="F2" s="144" t="s">
        <v>68</v>
      </c>
      <c r="G2" s="144">
        <v>615556350</v>
      </c>
      <c r="H2" s="150" t="s">
        <v>267</v>
      </c>
      <c r="I2" s="151" t="s">
        <v>120</v>
      </c>
    </row>
    <row r="3" spans="1:9" ht="21.2" x14ac:dyDescent="0.35">
      <c r="A3" s="146">
        <v>45860</v>
      </c>
      <c r="B3" s="147" t="s">
        <v>78</v>
      </c>
      <c r="C3" s="148">
        <v>47</v>
      </c>
      <c r="D3" s="149">
        <v>3.5</v>
      </c>
      <c r="E3" s="149">
        <f t="shared" si="0"/>
        <v>164.5</v>
      </c>
      <c r="F3" s="42"/>
      <c r="G3" s="42"/>
      <c r="H3" s="145">
        <v>893</v>
      </c>
      <c r="I3" s="152">
        <f>E28-H3</f>
        <v>85.549999999999955</v>
      </c>
    </row>
    <row r="4" spans="1:9" ht="16.25" x14ac:dyDescent="0.3">
      <c r="A4" s="146">
        <v>45861</v>
      </c>
      <c r="B4" s="147" t="s">
        <v>290</v>
      </c>
      <c r="C4" s="148">
        <v>1</v>
      </c>
      <c r="D4" s="149">
        <v>35</v>
      </c>
      <c r="E4" s="149">
        <f t="shared" si="0"/>
        <v>35</v>
      </c>
      <c r="F4" s="42"/>
      <c r="G4" s="42"/>
      <c r="H4" s="145"/>
      <c r="I4" s="3"/>
    </row>
    <row r="5" spans="1:9" ht="16.25" x14ac:dyDescent="0.3">
      <c r="A5" s="146">
        <v>45861</v>
      </c>
      <c r="B5" s="147" t="s">
        <v>63</v>
      </c>
      <c r="C5" s="148">
        <v>30</v>
      </c>
      <c r="D5" s="149">
        <v>7</v>
      </c>
      <c r="E5" s="149">
        <f t="shared" si="0"/>
        <v>210</v>
      </c>
      <c r="F5" s="42"/>
      <c r="G5" s="42"/>
      <c r="H5" s="145"/>
    </row>
    <row r="6" spans="1:9" ht="16.25" x14ac:dyDescent="0.3">
      <c r="A6" s="146">
        <v>45864</v>
      </c>
      <c r="B6" s="147" t="s">
        <v>291</v>
      </c>
      <c r="C6" s="148">
        <v>6</v>
      </c>
      <c r="D6" s="149">
        <v>0.5</v>
      </c>
      <c r="E6" s="149">
        <f t="shared" si="0"/>
        <v>3</v>
      </c>
      <c r="F6" s="42"/>
      <c r="G6" s="42"/>
      <c r="H6" s="145"/>
    </row>
    <row r="7" spans="1:9" ht="16.25" x14ac:dyDescent="0.3">
      <c r="A7" s="146">
        <v>45864</v>
      </c>
      <c r="B7" s="147" t="s">
        <v>292</v>
      </c>
      <c r="C7" s="148">
        <v>1</v>
      </c>
      <c r="D7" s="149">
        <v>2.5</v>
      </c>
      <c r="E7" s="149">
        <f t="shared" si="0"/>
        <v>2.5</v>
      </c>
      <c r="F7" s="42"/>
      <c r="G7" s="42"/>
      <c r="H7" s="145"/>
    </row>
    <row r="8" spans="1:9" ht="16.25" x14ac:dyDescent="0.3">
      <c r="A8" s="146">
        <v>45864</v>
      </c>
      <c r="B8" s="147" t="s">
        <v>78</v>
      </c>
      <c r="C8" s="148">
        <v>3</v>
      </c>
      <c r="D8" s="149">
        <v>3.5</v>
      </c>
      <c r="E8" s="149">
        <f t="shared" si="0"/>
        <v>10.5</v>
      </c>
      <c r="F8" s="42"/>
      <c r="G8" s="42"/>
      <c r="H8" s="145"/>
    </row>
    <row r="9" spans="1:9" ht="16.25" x14ac:dyDescent="0.3">
      <c r="A9" s="146">
        <v>45865</v>
      </c>
      <c r="B9" s="147" t="s">
        <v>293</v>
      </c>
      <c r="C9" s="148">
        <v>6</v>
      </c>
      <c r="D9" s="149">
        <v>12</v>
      </c>
      <c r="E9" s="149">
        <f t="shared" si="0"/>
        <v>72</v>
      </c>
      <c r="F9" s="42"/>
      <c r="G9" s="42"/>
      <c r="H9" s="145"/>
    </row>
    <row r="10" spans="1:9" ht="16.25" x14ac:dyDescent="0.3">
      <c r="A10" s="146">
        <v>45865</v>
      </c>
      <c r="B10" s="147" t="s">
        <v>294</v>
      </c>
      <c r="C10" s="148">
        <v>3</v>
      </c>
      <c r="D10" s="149">
        <v>24</v>
      </c>
      <c r="E10" s="149">
        <f t="shared" si="0"/>
        <v>72</v>
      </c>
      <c r="F10" s="42"/>
      <c r="G10" s="42"/>
      <c r="H10" s="145"/>
    </row>
    <row r="11" spans="1:9" ht="16.25" x14ac:dyDescent="0.3">
      <c r="A11" s="146">
        <v>45865</v>
      </c>
      <c r="B11" s="147" t="s">
        <v>295</v>
      </c>
      <c r="C11" s="148">
        <v>5</v>
      </c>
      <c r="D11" s="149">
        <v>2</v>
      </c>
      <c r="E11" s="149">
        <f t="shared" si="0"/>
        <v>10</v>
      </c>
      <c r="F11" s="42"/>
      <c r="G11" s="42"/>
      <c r="H11" s="145"/>
    </row>
    <row r="12" spans="1:9" ht="16.25" x14ac:dyDescent="0.3">
      <c r="A12" s="146">
        <v>45865</v>
      </c>
      <c r="B12" s="147" t="s">
        <v>296</v>
      </c>
      <c r="C12" s="148">
        <v>16</v>
      </c>
      <c r="D12" s="149">
        <v>1.5</v>
      </c>
      <c r="E12" s="149">
        <f>C12*D12</f>
        <v>24</v>
      </c>
      <c r="F12" s="42"/>
      <c r="G12" s="42"/>
      <c r="H12" s="145"/>
    </row>
    <row r="13" spans="1:9" ht="16.25" x14ac:dyDescent="0.3">
      <c r="A13" s="146">
        <v>45865</v>
      </c>
      <c r="B13" s="147" t="s">
        <v>297</v>
      </c>
      <c r="C13" s="148">
        <v>8</v>
      </c>
      <c r="D13" s="149">
        <v>15.5</v>
      </c>
      <c r="E13" s="149">
        <f>C13*D13</f>
        <v>124</v>
      </c>
      <c r="F13" s="42"/>
      <c r="G13" s="42"/>
      <c r="H13" s="145"/>
    </row>
    <row r="14" spans="1:9" ht="16.25" x14ac:dyDescent="0.3">
      <c r="A14" s="146">
        <v>45865</v>
      </c>
      <c r="B14" s="147" t="s">
        <v>63</v>
      </c>
      <c r="C14" s="148">
        <v>4</v>
      </c>
      <c r="D14" s="149">
        <v>7</v>
      </c>
      <c r="E14" s="149">
        <f>C14*D14</f>
        <v>28</v>
      </c>
      <c r="F14" s="42"/>
      <c r="G14" s="42"/>
      <c r="H14" s="145"/>
    </row>
    <row r="15" spans="1:9" ht="16.25" x14ac:dyDescent="0.3">
      <c r="A15" s="146">
        <v>45862</v>
      </c>
      <c r="B15" s="147" t="s">
        <v>298</v>
      </c>
      <c r="C15" s="148">
        <v>2</v>
      </c>
      <c r="D15" s="149">
        <v>2</v>
      </c>
      <c r="E15" s="149">
        <f t="shared" ref="E15:E21" si="1">C15*D15</f>
        <v>4</v>
      </c>
      <c r="F15" s="42"/>
      <c r="G15" s="42"/>
      <c r="H15" s="145"/>
    </row>
    <row r="16" spans="1:9" ht="16.25" x14ac:dyDescent="0.3">
      <c r="A16" s="146">
        <v>45862</v>
      </c>
      <c r="B16" s="147" t="s">
        <v>299</v>
      </c>
      <c r="C16" s="148">
        <v>4</v>
      </c>
      <c r="D16" s="149">
        <v>0.75</v>
      </c>
      <c r="E16" s="149">
        <f t="shared" si="1"/>
        <v>3</v>
      </c>
      <c r="F16" s="1"/>
      <c r="G16" s="1"/>
      <c r="H16" s="145"/>
    </row>
    <row r="17" spans="1:8" ht="16.25" x14ac:dyDescent="0.3">
      <c r="A17" s="146">
        <v>45862</v>
      </c>
      <c r="B17" s="147" t="s">
        <v>300</v>
      </c>
      <c r="C17" s="148">
        <v>1</v>
      </c>
      <c r="D17" s="149">
        <v>0.75</v>
      </c>
      <c r="E17" s="149">
        <f t="shared" si="1"/>
        <v>0.75</v>
      </c>
      <c r="F17" s="1"/>
      <c r="G17" s="1"/>
      <c r="H17" s="145"/>
    </row>
    <row r="18" spans="1:8" ht="16.25" x14ac:dyDescent="0.3">
      <c r="A18" s="146">
        <v>45862</v>
      </c>
      <c r="B18" s="147" t="s">
        <v>301</v>
      </c>
      <c r="C18" s="148">
        <v>1</v>
      </c>
      <c r="D18" s="149">
        <v>2.2999999999999998</v>
      </c>
      <c r="E18" s="149">
        <f t="shared" si="1"/>
        <v>2.2999999999999998</v>
      </c>
      <c r="F18" s="1"/>
      <c r="G18" s="1"/>
      <c r="H18" s="145"/>
    </row>
    <row r="19" spans="1:8" ht="16.25" x14ac:dyDescent="0.3">
      <c r="A19" s="146">
        <v>45862</v>
      </c>
      <c r="B19" s="147" t="s">
        <v>63</v>
      </c>
      <c r="C19" s="148">
        <v>20</v>
      </c>
      <c r="D19" s="149">
        <v>7</v>
      </c>
      <c r="E19" s="149">
        <f t="shared" si="1"/>
        <v>140</v>
      </c>
      <c r="F19" s="1"/>
      <c r="G19" s="1"/>
      <c r="H19" s="145"/>
    </row>
    <row r="20" spans="1:8" ht="16.25" x14ac:dyDescent="0.3">
      <c r="A20" s="146">
        <v>45865</v>
      </c>
      <c r="B20" s="147" t="s">
        <v>302</v>
      </c>
      <c r="C20" s="148">
        <v>1</v>
      </c>
      <c r="D20" s="149">
        <v>11</v>
      </c>
      <c r="E20" s="149">
        <f t="shared" si="1"/>
        <v>11</v>
      </c>
      <c r="F20" s="1"/>
      <c r="G20" s="1"/>
      <c r="H20" s="145"/>
    </row>
    <row r="21" spans="1:8" x14ac:dyDescent="0.25">
      <c r="A21" s="153">
        <v>45865</v>
      </c>
      <c r="B21" s="154" t="s">
        <v>303</v>
      </c>
      <c r="C21" s="155">
        <v>1</v>
      </c>
      <c r="D21" s="156">
        <v>6</v>
      </c>
      <c r="E21" s="156">
        <f t="shared" si="1"/>
        <v>6</v>
      </c>
      <c r="F21" s="1"/>
      <c r="G21" s="1"/>
      <c r="H21" s="145"/>
    </row>
    <row r="22" spans="1:8" x14ac:dyDescent="0.25">
      <c r="A22" s="153">
        <v>45866</v>
      </c>
      <c r="B22" s="154" t="s">
        <v>64</v>
      </c>
      <c r="C22" s="157">
        <v>2</v>
      </c>
      <c r="D22" s="156">
        <v>1.5</v>
      </c>
      <c r="E22" s="156">
        <f>C22*D22</f>
        <v>3</v>
      </c>
      <c r="F22" s="1"/>
      <c r="G22" s="1"/>
      <c r="H22" s="145"/>
    </row>
    <row r="23" spans="1:8" x14ac:dyDescent="0.25">
      <c r="A23" s="153">
        <v>45866</v>
      </c>
      <c r="B23" s="154" t="s">
        <v>64</v>
      </c>
      <c r="C23" s="157">
        <v>1</v>
      </c>
      <c r="D23" s="156">
        <v>1</v>
      </c>
      <c r="E23" s="156">
        <f>C23*D23</f>
        <v>1</v>
      </c>
      <c r="F23" s="1"/>
      <c r="G23" s="1"/>
      <c r="H23" s="145"/>
    </row>
    <row r="24" spans="1:8" x14ac:dyDescent="0.25">
      <c r="A24" s="2"/>
      <c r="B24" s="158"/>
      <c r="D24" s="3"/>
      <c r="E24" s="3"/>
      <c r="H24" s="3"/>
    </row>
    <row r="25" spans="1:8" x14ac:dyDescent="0.25">
      <c r="D25" s="3"/>
      <c r="E25" s="3"/>
      <c r="H25" s="3"/>
    </row>
    <row r="26" spans="1:8" x14ac:dyDescent="0.25">
      <c r="D26" s="3"/>
      <c r="E26" s="3"/>
      <c r="H26" s="3"/>
    </row>
    <row r="27" spans="1:8" x14ac:dyDescent="0.25">
      <c r="D27" s="3"/>
      <c r="E27" s="3"/>
      <c r="H27" s="3"/>
    </row>
    <row r="28" spans="1:8" x14ac:dyDescent="0.25">
      <c r="A28" s="159"/>
      <c r="B28" s="159" t="s">
        <v>304</v>
      </c>
      <c r="C28" s="159"/>
      <c r="D28" s="160"/>
      <c r="E28" s="160">
        <f>SUM(E2:E27)</f>
        <v>978.55</v>
      </c>
      <c r="H28" s="3"/>
    </row>
    <row r="29" spans="1:8" x14ac:dyDescent="0.25">
      <c r="D29" s="3"/>
      <c r="E29" s="3"/>
      <c r="H29" s="3"/>
    </row>
    <row r="30" spans="1:8" x14ac:dyDescent="0.25">
      <c r="B30" s="2">
        <v>45909</v>
      </c>
      <c r="C30" t="s">
        <v>128</v>
      </c>
      <c r="D30" s="3">
        <v>93</v>
      </c>
      <c r="E30" s="3"/>
      <c r="H30" s="3"/>
    </row>
    <row r="31" spans="1:8" x14ac:dyDescent="0.25">
      <c r="B31" s="2">
        <v>45940</v>
      </c>
      <c r="C31" t="s">
        <v>128</v>
      </c>
      <c r="D31" s="3">
        <v>200</v>
      </c>
      <c r="E31" s="3"/>
      <c r="H31" s="3"/>
    </row>
    <row r="32" spans="1:8" x14ac:dyDescent="0.25">
      <c r="B32" s="2">
        <v>45969</v>
      </c>
      <c r="C32" t="s">
        <v>128</v>
      </c>
      <c r="D32" s="3">
        <v>300</v>
      </c>
      <c r="E32" s="3"/>
      <c r="H32" s="3"/>
    </row>
    <row r="33" spans="2:8" x14ac:dyDescent="0.25">
      <c r="B33" s="2">
        <v>46000</v>
      </c>
      <c r="C33" t="s">
        <v>128</v>
      </c>
      <c r="D33" s="3">
        <v>300</v>
      </c>
      <c r="E33" s="3"/>
      <c r="H33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F24"/>
  <sheetViews>
    <sheetView topLeftCell="A7" workbookViewId="0">
      <selection activeCell="C24" sqref="C24:E24"/>
    </sheetView>
  </sheetViews>
  <sheetFormatPr defaultRowHeight="14.85" x14ac:dyDescent="0.25"/>
  <cols>
    <col min="1" max="1" width="16.25" bestFit="1" customWidth="1"/>
    <col min="2" max="2" width="33.125" bestFit="1" customWidth="1"/>
    <col min="3" max="3" width="6.25" bestFit="1" customWidth="1"/>
    <col min="4" max="4" width="10.375" bestFit="1" customWidth="1"/>
    <col min="5" max="5" width="11.125" bestFit="1" customWidth="1"/>
    <col min="6" max="6" width="11.875" bestFit="1" customWidth="1"/>
  </cols>
  <sheetData>
    <row r="1" spans="1:6" ht="23.3" x14ac:dyDescent="0.35">
      <c r="A1" s="161" t="s">
        <v>3</v>
      </c>
      <c r="B1" s="162" t="s">
        <v>4</v>
      </c>
      <c r="C1" s="162" t="s">
        <v>286</v>
      </c>
      <c r="D1" s="163" t="s">
        <v>6</v>
      </c>
      <c r="E1" s="163" t="s">
        <v>7</v>
      </c>
      <c r="F1" s="164" t="s">
        <v>127</v>
      </c>
    </row>
    <row r="2" spans="1:6" ht="23.3" x14ac:dyDescent="0.35">
      <c r="A2" s="165">
        <v>45852</v>
      </c>
      <c r="B2" s="166" t="s">
        <v>305</v>
      </c>
      <c r="C2" s="167">
        <v>4</v>
      </c>
      <c r="D2" s="168">
        <v>17</v>
      </c>
      <c r="E2" s="169">
        <f>C2*D2</f>
        <v>68</v>
      </c>
      <c r="F2" s="170"/>
    </row>
    <row r="3" spans="1:6" ht="23.3" x14ac:dyDescent="0.35">
      <c r="A3" s="171">
        <v>45852</v>
      </c>
      <c r="B3" s="172" t="s">
        <v>306</v>
      </c>
      <c r="C3" s="173">
        <v>16</v>
      </c>
      <c r="D3" s="174">
        <v>6</v>
      </c>
      <c r="E3" s="169">
        <f t="shared" ref="E3:E15" si="0">C3*D3</f>
        <v>96</v>
      </c>
      <c r="F3" s="175"/>
    </row>
    <row r="4" spans="1:6" ht="23.3" x14ac:dyDescent="0.35">
      <c r="A4" s="165">
        <v>45852</v>
      </c>
      <c r="B4" s="166" t="s">
        <v>307</v>
      </c>
      <c r="C4" s="167">
        <v>4</v>
      </c>
      <c r="D4" s="168">
        <v>17</v>
      </c>
      <c r="E4" s="169">
        <f t="shared" si="0"/>
        <v>68</v>
      </c>
      <c r="F4" s="170"/>
    </row>
    <row r="5" spans="1:6" ht="23.3" x14ac:dyDescent="0.35">
      <c r="A5" s="171">
        <v>45852</v>
      </c>
      <c r="B5" s="172" t="s">
        <v>308</v>
      </c>
      <c r="C5" s="173">
        <v>6</v>
      </c>
      <c r="D5" s="174">
        <v>6</v>
      </c>
      <c r="E5" s="169">
        <f t="shared" si="0"/>
        <v>36</v>
      </c>
      <c r="F5" s="175"/>
    </row>
    <row r="6" spans="1:6" ht="23.3" x14ac:dyDescent="0.35">
      <c r="A6" s="165">
        <v>45852</v>
      </c>
      <c r="B6" s="166" t="s">
        <v>309</v>
      </c>
      <c r="C6" s="167">
        <v>1</v>
      </c>
      <c r="D6" s="168">
        <v>17</v>
      </c>
      <c r="E6" s="169">
        <f t="shared" si="0"/>
        <v>17</v>
      </c>
      <c r="F6" s="170"/>
    </row>
    <row r="7" spans="1:6" ht="23.3" x14ac:dyDescent="0.35">
      <c r="A7" s="171">
        <v>45852</v>
      </c>
      <c r="B7" s="172" t="s">
        <v>310</v>
      </c>
      <c r="C7" s="173">
        <v>3</v>
      </c>
      <c r="D7" s="174">
        <v>7</v>
      </c>
      <c r="E7" s="169">
        <f t="shared" si="0"/>
        <v>21</v>
      </c>
      <c r="F7" s="175"/>
    </row>
    <row r="8" spans="1:6" ht="23.3" x14ac:dyDescent="0.35">
      <c r="A8" s="165">
        <v>45852</v>
      </c>
      <c r="B8" s="166" t="s">
        <v>311</v>
      </c>
      <c r="C8" s="167">
        <v>33</v>
      </c>
      <c r="D8" s="168">
        <v>2</v>
      </c>
      <c r="E8" s="169">
        <f t="shared" si="0"/>
        <v>66</v>
      </c>
      <c r="F8" s="170"/>
    </row>
    <row r="9" spans="1:6" ht="23.3" x14ac:dyDescent="0.35">
      <c r="A9" s="171">
        <v>45852</v>
      </c>
      <c r="B9" s="172" t="s">
        <v>312</v>
      </c>
      <c r="C9" s="173">
        <v>4</v>
      </c>
      <c r="D9" s="174">
        <v>1</v>
      </c>
      <c r="E9" s="169">
        <f t="shared" si="0"/>
        <v>4</v>
      </c>
      <c r="F9" s="175"/>
    </row>
    <row r="10" spans="1:6" ht="23.3" x14ac:dyDescent="0.35">
      <c r="A10" s="165">
        <v>45852</v>
      </c>
      <c r="B10" s="166" t="s">
        <v>313</v>
      </c>
      <c r="C10" s="167">
        <v>3</v>
      </c>
      <c r="D10" s="168">
        <v>1</v>
      </c>
      <c r="E10" s="169">
        <f t="shared" si="0"/>
        <v>3</v>
      </c>
      <c r="F10" s="170"/>
    </row>
    <row r="11" spans="1:6" ht="23.3" x14ac:dyDescent="0.35">
      <c r="A11" s="171">
        <v>45852</v>
      </c>
      <c r="B11" s="172" t="s">
        <v>314</v>
      </c>
      <c r="C11" s="173">
        <v>2</v>
      </c>
      <c r="D11" s="174">
        <v>5.5</v>
      </c>
      <c r="E11" s="169">
        <f t="shared" si="0"/>
        <v>11</v>
      </c>
      <c r="F11" s="175"/>
    </row>
    <row r="12" spans="1:6" ht="23.3" x14ac:dyDescent="0.35">
      <c r="A12" s="165">
        <v>45852</v>
      </c>
      <c r="B12" s="166" t="s">
        <v>313</v>
      </c>
      <c r="C12" s="167">
        <v>4</v>
      </c>
      <c r="D12" s="168">
        <v>1</v>
      </c>
      <c r="E12" s="169">
        <f t="shared" si="0"/>
        <v>4</v>
      </c>
      <c r="F12" s="170"/>
    </row>
    <row r="13" spans="1:6" ht="23.3" x14ac:dyDescent="0.35">
      <c r="A13" s="171">
        <v>45852</v>
      </c>
      <c r="B13" s="172" t="s">
        <v>315</v>
      </c>
      <c r="C13" s="173">
        <v>3</v>
      </c>
      <c r="D13" s="174">
        <v>17</v>
      </c>
      <c r="E13" s="169">
        <f t="shared" si="0"/>
        <v>51</v>
      </c>
      <c r="F13" s="175"/>
    </row>
    <row r="14" spans="1:6" ht="23.3" x14ac:dyDescent="0.35">
      <c r="A14" s="165">
        <v>45852</v>
      </c>
      <c r="B14" s="166" t="s">
        <v>316</v>
      </c>
      <c r="C14" s="167">
        <v>1</v>
      </c>
      <c r="D14" s="168">
        <v>6</v>
      </c>
      <c r="E14" s="169">
        <f t="shared" si="0"/>
        <v>6</v>
      </c>
      <c r="F14" s="170"/>
    </row>
    <row r="15" spans="1:6" ht="23.3" x14ac:dyDescent="0.35">
      <c r="A15" s="176">
        <v>45866</v>
      </c>
      <c r="B15" s="177" t="s">
        <v>317</v>
      </c>
      <c r="C15" s="173">
        <v>6</v>
      </c>
      <c r="D15" s="174">
        <v>1.8</v>
      </c>
      <c r="E15" s="178">
        <f t="shared" si="0"/>
        <v>10.8</v>
      </c>
      <c r="F15" s="175"/>
    </row>
    <row r="16" spans="1:6" ht="23.3" x14ac:dyDescent="0.35">
      <c r="A16" s="179">
        <v>45866</v>
      </c>
      <c r="B16" s="180" t="s">
        <v>318</v>
      </c>
      <c r="C16" s="167">
        <v>1</v>
      </c>
      <c r="D16" s="168">
        <v>1</v>
      </c>
      <c r="E16" s="169">
        <f>C16*D16</f>
        <v>1</v>
      </c>
      <c r="F16" s="170"/>
    </row>
    <row r="17" spans="1:6" ht="23.3" x14ac:dyDescent="0.35">
      <c r="A17" s="179">
        <v>45866</v>
      </c>
      <c r="B17" s="180" t="s">
        <v>319</v>
      </c>
      <c r="C17" s="167">
        <v>1</v>
      </c>
      <c r="D17" s="168">
        <v>3.7</v>
      </c>
      <c r="E17" s="169">
        <f>C17*D17</f>
        <v>3.7</v>
      </c>
      <c r="F17" s="170"/>
    </row>
    <row r="18" spans="1:6" ht="23.3" x14ac:dyDescent="0.35">
      <c r="A18" s="179">
        <v>45866</v>
      </c>
      <c r="B18" s="180" t="s">
        <v>320</v>
      </c>
      <c r="C18" s="167"/>
      <c r="D18" s="168">
        <v>2</v>
      </c>
      <c r="E18" s="169">
        <v>2</v>
      </c>
      <c r="F18" s="170"/>
    </row>
    <row r="19" spans="1:6" ht="23.3" x14ac:dyDescent="0.35">
      <c r="A19" s="181">
        <v>45892</v>
      </c>
      <c r="B19" s="182" t="s">
        <v>321</v>
      </c>
      <c r="C19" s="182">
        <v>1</v>
      </c>
      <c r="D19" s="183">
        <v>18</v>
      </c>
      <c r="E19" s="183">
        <v>18</v>
      </c>
      <c r="F19" s="182"/>
    </row>
    <row r="20" spans="1:6" ht="23.3" x14ac:dyDescent="0.35">
      <c r="A20" s="181">
        <v>45991</v>
      </c>
      <c r="B20" s="182" t="s">
        <v>322</v>
      </c>
      <c r="C20" s="182">
        <v>2</v>
      </c>
      <c r="D20" s="183">
        <v>2.5</v>
      </c>
      <c r="E20" s="183">
        <f>C20*D20</f>
        <v>5</v>
      </c>
      <c r="F20" s="182"/>
    </row>
    <row r="21" spans="1:6" ht="23.3" x14ac:dyDescent="0.35">
      <c r="A21" s="181">
        <v>45991</v>
      </c>
      <c r="B21" s="182" t="s">
        <v>136</v>
      </c>
      <c r="C21" s="182">
        <v>1</v>
      </c>
      <c r="D21" s="183">
        <v>4</v>
      </c>
      <c r="E21" s="183">
        <f>C21*D21</f>
        <v>4</v>
      </c>
      <c r="F21" s="182"/>
    </row>
    <row r="22" spans="1:6" ht="23.3" x14ac:dyDescent="0.35">
      <c r="A22" s="181">
        <v>45991</v>
      </c>
      <c r="B22" s="182" t="s">
        <v>323</v>
      </c>
      <c r="C22" s="182">
        <v>1</v>
      </c>
      <c r="D22" s="183">
        <v>1</v>
      </c>
      <c r="E22" s="183">
        <f>C22*D22</f>
        <v>1</v>
      </c>
      <c r="F22" s="182"/>
    </row>
    <row r="24" spans="1:6" ht="21.2" x14ac:dyDescent="0.35">
      <c r="C24" s="184"/>
      <c r="D24" s="184"/>
      <c r="E24" s="185">
        <f>SUM(E2:E23)</f>
        <v>496.5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E10"/>
  <sheetViews>
    <sheetView workbookViewId="0">
      <selection activeCell="E12" sqref="E12"/>
    </sheetView>
  </sheetViews>
  <sheetFormatPr defaultRowHeight="14.85" x14ac:dyDescent="0.25"/>
  <cols>
    <col min="1" max="1" width="9.375" bestFit="1" customWidth="1"/>
    <col min="2" max="2" width="14.125" bestFit="1" customWidth="1"/>
    <col min="3" max="4" width="8.5" bestFit="1" customWidth="1"/>
    <col min="5" max="5" width="11.5" bestFit="1" customWidth="1"/>
  </cols>
  <sheetData>
    <row r="1" spans="1:5" ht="18.350000000000001" x14ac:dyDescent="0.3">
      <c r="A1" s="186" t="s">
        <v>324</v>
      </c>
      <c r="B1" s="186" t="s">
        <v>325</v>
      </c>
      <c r="C1" s="186" t="s">
        <v>326</v>
      </c>
      <c r="D1" s="187" t="s">
        <v>6</v>
      </c>
      <c r="E1" s="187" t="s">
        <v>327</v>
      </c>
    </row>
    <row r="2" spans="1:5" x14ac:dyDescent="0.25">
      <c r="A2" s="2">
        <v>45825</v>
      </c>
      <c r="B2" t="s">
        <v>328</v>
      </c>
      <c r="C2">
        <v>2</v>
      </c>
      <c r="D2" s="3">
        <v>12</v>
      </c>
      <c r="E2" s="3">
        <f>C2*D2</f>
        <v>24</v>
      </c>
    </row>
    <row r="3" spans="1:5" x14ac:dyDescent="0.25">
      <c r="A3" s="2">
        <v>45825</v>
      </c>
      <c r="B3" t="s">
        <v>329</v>
      </c>
      <c r="C3">
        <v>1</v>
      </c>
      <c r="D3" s="3">
        <v>7</v>
      </c>
      <c r="E3" s="3">
        <f>C3*D3</f>
        <v>7</v>
      </c>
    </row>
    <row r="4" spans="1:5" x14ac:dyDescent="0.25">
      <c r="A4" s="2">
        <v>45825</v>
      </c>
      <c r="B4" t="s">
        <v>124</v>
      </c>
      <c r="C4">
        <v>2</v>
      </c>
      <c r="D4" s="3">
        <v>0.5</v>
      </c>
      <c r="E4" s="3">
        <f>C4*D4</f>
        <v>1</v>
      </c>
    </row>
    <row r="5" spans="1:5" x14ac:dyDescent="0.25">
      <c r="A5" s="2">
        <v>45825</v>
      </c>
      <c r="B5" t="s">
        <v>330</v>
      </c>
      <c r="D5" s="3">
        <v>24</v>
      </c>
      <c r="E5" s="3">
        <v>24</v>
      </c>
    </row>
    <row r="6" spans="1:5" x14ac:dyDescent="0.25">
      <c r="A6" s="2">
        <v>45830</v>
      </c>
      <c r="B6" t="s">
        <v>329</v>
      </c>
      <c r="C6">
        <v>4</v>
      </c>
      <c r="D6" s="3">
        <v>0.25</v>
      </c>
      <c r="E6" s="3">
        <f>C6*D6</f>
        <v>1</v>
      </c>
    </row>
    <row r="7" spans="1:5" x14ac:dyDescent="0.25">
      <c r="A7" s="2">
        <v>45830</v>
      </c>
      <c r="B7" t="s">
        <v>124</v>
      </c>
      <c r="C7">
        <v>1</v>
      </c>
      <c r="D7" s="3">
        <v>0.5</v>
      </c>
      <c r="E7" s="3">
        <f>C7*D7</f>
        <v>0.5</v>
      </c>
    </row>
    <row r="8" spans="1:5" x14ac:dyDescent="0.25">
      <c r="A8" s="2">
        <v>45830</v>
      </c>
      <c r="B8" t="s">
        <v>330</v>
      </c>
      <c r="D8" s="3">
        <v>5</v>
      </c>
      <c r="E8" s="3">
        <v>5</v>
      </c>
    </row>
    <row r="9" spans="1:5" x14ac:dyDescent="0.25">
      <c r="D9" s="3"/>
      <c r="E9" s="3"/>
    </row>
    <row r="10" spans="1:5" x14ac:dyDescent="0.25">
      <c r="D10" s="3"/>
      <c r="E10" s="3">
        <f>SUM(E2:E9)</f>
        <v>62.5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E28"/>
  <sheetViews>
    <sheetView workbookViewId="0">
      <selection activeCell="L13" sqref="L13"/>
    </sheetView>
  </sheetViews>
  <sheetFormatPr defaultRowHeight="14.85" x14ac:dyDescent="0.25"/>
  <cols>
    <col min="1" max="1" width="9.375" bestFit="1" customWidth="1"/>
    <col min="2" max="2" width="17.5" bestFit="1" customWidth="1"/>
    <col min="3" max="3" width="3.875" bestFit="1" customWidth="1"/>
    <col min="4" max="4" width="10.875" bestFit="1" customWidth="1"/>
    <col min="5" max="5" width="12.5" bestFit="1" customWidth="1"/>
  </cols>
  <sheetData>
    <row r="1" spans="1:5" x14ac:dyDescent="0.25">
      <c r="A1" s="204" t="s">
        <v>284</v>
      </c>
      <c r="B1" s="205" t="s">
        <v>337</v>
      </c>
      <c r="C1" s="213" t="s">
        <v>5</v>
      </c>
      <c r="D1" s="214" t="s">
        <v>338</v>
      </c>
      <c r="E1" s="214" t="s">
        <v>339</v>
      </c>
    </row>
    <row r="2" spans="1:5" x14ac:dyDescent="0.25">
      <c r="A2" s="209">
        <v>45789</v>
      </c>
      <c r="B2" s="206" t="s">
        <v>340</v>
      </c>
      <c r="C2" s="207">
        <v>6</v>
      </c>
      <c r="D2" s="208">
        <v>60</v>
      </c>
      <c r="E2" s="208">
        <v>360</v>
      </c>
    </row>
    <row r="3" spans="1:5" x14ac:dyDescent="0.25">
      <c r="A3" s="209">
        <v>45789</v>
      </c>
      <c r="B3" s="206" t="s">
        <v>341</v>
      </c>
      <c r="C3" s="207">
        <v>4</v>
      </c>
      <c r="D3" s="208">
        <v>310</v>
      </c>
      <c r="E3" s="208">
        <v>1240</v>
      </c>
    </row>
    <row r="4" spans="1:5" x14ac:dyDescent="0.25">
      <c r="A4" s="209">
        <v>45789</v>
      </c>
      <c r="B4" s="206" t="s">
        <v>342</v>
      </c>
      <c r="C4" s="207">
        <v>4</v>
      </c>
      <c r="D4" s="208">
        <v>3</v>
      </c>
      <c r="E4" s="208">
        <v>12</v>
      </c>
    </row>
    <row r="5" spans="1:5" x14ac:dyDescent="0.25">
      <c r="A5" s="209">
        <v>45789</v>
      </c>
      <c r="B5" s="206" t="s">
        <v>343</v>
      </c>
      <c r="C5" s="207">
        <v>15</v>
      </c>
      <c r="D5" s="208">
        <v>2.5</v>
      </c>
      <c r="E5" s="208">
        <v>37.5</v>
      </c>
    </row>
    <row r="6" spans="1:5" x14ac:dyDescent="0.25">
      <c r="A6" s="209">
        <v>45789</v>
      </c>
      <c r="B6" s="206" t="s">
        <v>344</v>
      </c>
      <c r="C6" s="207">
        <v>2</v>
      </c>
      <c r="D6" s="208">
        <v>4</v>
      </c>
      <c r="E6" s="208">
        <v>8</v>
      </c>
    </row>
    <row r="7" spans="1:5" x14ac:dyDescent="0.25">
      <c r="A7" s="209">
        <v>45789</v>
      </c>
      <c r="B7" s="206" t="s">
        <v>345</v>
      </c>
      <c r="C7" s="207">
        <v>1</v>
      </c>
      <c r="D7" s="208">
        <v>18</v>
      </c>
      <c r="E7" s="208">
        <v>18</v>
      </c>
    </row>
    <row r="8" spans="1:5" x14ac:dyDescent="0.25">
      <c r="A8" s="209">
        <v>45789</v>
      </c>
      <c r="B8" s="206" t="s">
        <v>346</v>
      </c>
      <c r="C8" s="207">
        <v>25</v>
      </c>
      <c r="D8" s="208">
        <v>0.5</v>
      </c>
      <c r="E8" s="208">
        <v>12.5</v>
      </c>
    </row>
    <row r="9" spans="1:5" x14ac:dyDescent="0.25">
      <c r="A9" s="209">
        <v>45789</v>
      </c>
      <c r="B9" s="206" t="s">
        <v>347</v>
      </c>
      <c r="C9" s="207">
        <v>1</v>
      </c>
      <c r="D9" s="208">
        <v>35</v>
      </c>
      <c r="E9" s="208">
        <v>35</v>
      </c>
    </row>
    <row r="10" spans="1:5" x14ac:dyDescent="0.25">
      <c r="A10" s="209">
        <v>45789</v>
      </c>
      <c r="B10" s="206" t="s">
        <v>348</v>
      </c>
      <c r="C10" s="207">
        <v>2</v>
      </c>
      <c r="D10" s="208">
        <v>6.5</v>
      </c>
      <c r="E10" s="208">
        <v>13</v>
      </c>
    </row>
    <row r="11" spans="1:5" x14ac:dyDescent="0.25">
      <c r="A11" s="209">
        <v>45789</v>
      </c>
      <c r="B11" s="206" t="s">
        <v>349</v>
      </c>
      <c r="C11" s="207">
        <v>2</v>
      </c>
      <c r="D11" s="208">
        <v>3</v>
      </c>
      <c r="E11" s="208">
        <v>6</v>
      </c>
    </row>
    <row r="12" spans="1:5" x14ac:dyDescent="0.25">
      <c r="A12" s="209" t="s">
        <v>350</v>
      </c>
      <c r="B12" s="206" t="s">
        <v>351</v>
      </c>
      <c r="C12" s="207">
        <v>1</v>
      </c>
      <c r="D12" s="208">
        <v>0.5</v>
      </c>
      <c r="E12" s="208">
        <v>0.5</v>
      </c>
    </row>
    <row r="13" spans="1:5" x14ac:dyDescent="0.25">
      <c r="A13" s="209" t="s">
        <v>350</v>
      </c>
      <c r="B13" s="206" t="s">
        <v>352</v>
      </c>
      <c r="C13" s="207">
        <v>1</v>
      </c>
      <c r="D13" s="208">
        <v>0.5</v>
      </c>
      <c r="E13" s="208">
        <v>0.5</v>
      </c>
    </row>
    <row r="14" spans="1:5" x14ac:dyDescent="0.25">
      <c r="A14" s="209" t="s">
        <v>350</v>
      </c>
      <c r="B14" s="206" t="s">
        <v>353</v>
      </c>
      <c r="C14" s="207">
        <v>1</v>
      </c>
      <c r="D14" s="208">
        <v>2</v>
      </c>
      <c r="E14" s="208">
        <v>2</v>
      </c>
    </row>
    <row r="15" spans="1:5" x14ac:dyDescent="0.25">
      <c r="A15" s="209" t="s">
        <v>350</v>
      </c>
      <c r="B15" s="206" t="s">
        <v>63</v>
      </c>
      <c r="C15" s="207">
        <v>150</v>
      </c>
      <c r="D15" s="208">
        <v>7</v>
      </c>
      <c r="E15" s="208">
        <v>1050</v>
      </c>
    </row>
    <row r="16" spans="1:5" x14ac:dyDescent="0.25">
      <c r="A16" s="209" t="s">
        <v>350</v>
      </c>
      <c r="B16" s="206" t="s">
        <v>354</v>
      </c>
      <c r="C16" s="207">
        <v>5.5</v>
      </c>
      <c r="D16" s="208">
        <v>64</v>
      </c>
      <c r="E16" s="208">
        <v>352</v>
      </c>
    </row>
    <row r="17" spans="1:5" x14ac:dyDescent="0.25">
      <c r="A17" s="209" t="s">
        <v>350</v>
      </c>
      <c r="B17" s="206" t="s">
        <v>355</v>
      </c>
      <c r="C17" s="207">
        <v>1</v>
      </c>
      <c r="D17" s="208">
        <v>50</v>
      </c>
      <c r="E17" s="208">
        <v>50</v>
      </c>
    </row>
    <row r="18" spans="1:5" x14ac:dyDescent="0.25">
      <c r="A18" s="209" t="s">
        <v>350</v>
      </c>
      <c r="B18" s="206" t="s">
        <v>356</v>
      </c>
      <c r="C18" s="207">
        <v>1</v>
      </c>
      <c r="D18" s="208">
        <v>5</v>
      </c>
      <c r="E18" s="208">
        <v>5</v>
      </c>
    </row>
    <row r="19" spans="1:5" x14ac:dyDescent="0.25">
      <c r="A19" s="209" t="s">
        <v>350</v>
      </c>
      <c r="B19" s="206" t="s">
        <v>357</v>
      </c>
      <c r="C19" s="207">
        <v>1</v>
      </c>
      <c r="D19" s="208">
        <v>7</v>
      </c>
      <c r="E19" s="208">
        <v>7</v>
      </c>
    </row>
    <row r="20" spans="1:5" x14ac:dyDescent="0.25">
      <c r="A20" s="209" t="s">
        <v>350</v>
      </c>
      <c r="B20" s="206" t="s">
        <v>358</v>
      </c>
      <c r="C20" s="207">
        <v>2</v>
      </c>
      <c r="D20" s="208">
        <v>1.5</v>
      </c>
      <c r="E20" s="208">
        <v>3</v>
      </c>
    </row>
    <row r="21" spans="1:5" x14ac:dyDescent="0.25">
      <c r="A21" s="209" t="s">
        <v>359</v>
      </c>
      <c r="B21" s="206" t="s">
        <v>360</v>
      </c>
      <c r="C21" s="207">
        <v>1</v>
      </c>
      <c r="D21" s="208">
        <v>310</v>
      </c>
      <c r="E21" s="208">
        <v>310</v>
      </c>
    </row>
    <row r="22" spans="1:5" x14ac:dyDescent="0.25">
      <c r="A22" s="209" t="s">
        <v>359</v>
      </c>
      <c r="B22" s="206" t="s">
        <v>361</v>
      </c>
      <c r="C22" s="207">
        <v>1</v>
      </c>
      <c r="D22" s="208">
        <v>90</v>
      </c>
      <c r="E22" s="208">
        <v>90</v>
      </c>
    </row>
    <row r="23" spans="1:5" x14ac:dyDescent="0.25">
      <c r="A23" s="209" t="s">
        <v>359</v>
      </c>
      <c r="B23" s="206" t="s">
        <v>362</v>
      </c>
      <c r="C23" s="207">
        <v>1</v>
      </c>
      <c r="D23" s="208">
        <v>190</v>
      </c>
      <c r="E23" s="208">
        <v>190</v>
      </c>
    </row>
    <row r="24" spans="1:5" x14ac:dyDescent="0.25">
      <c r="A24" s="209" t="s">
        <v>359</v>
      </c>
      <c r="B24" s="206" t="s">
        <v>363</v>
      </c>
      <c r="C24" s="207">
        <v>1</v>
      </c>
      <c r="D24" s="208">
        <v>20</v>
      </c>
      <c r="E24" s="208">
        <v>20</v>
      </c>
    </row>
    <row r="25" spans="1:5" x14ac:dyDescent="0.25">
      <c r="A25" s="209" t="s">
        <v>359</v>
      </c>
      <c r="B25" s="206" t="s">
        <v>364</v>
      </c>
      <c r="C25" s="207">
        <v>1</v>
      </c>
      <c r="D25" s="208">
        <v>8</v>
      </c>
      <c r="E25" s="208">
        <v>8</v>
      </c>
    </row>
    <row r="26" spans="1:5" x14ac:dyDescent="0.25">
      <c r="A26" s="209" t="s">
        <v>359</v>
      </c>
      <c r="B26" s="206" t="s">
        <v>365</v>
      </c>
      <c r="C26" s="207">
        <v>1</v>
      </c>
      <c r="D26" s="208">
        <v>20</v>
      </c>
      <c r="E26" s="208">
        <v>20</v>
      </c>
    </row>
    <row r="27" spans="1:5" x14ac:dyDescent="0.25">
      <c r="A27" s="210" t="s">
        <v>366</v>
      </c>
      <c r="B27" s="211"/>
      <c r="C27" s="211" t="s">
        <v>366</v>
      </c>
      <c r="D27" s="212"/>
      <c r="E27" s="212">
        <v>3850</v>
      </c>
    </row>
    <row r="28" spans="1:5" x14ac:dyDescent="0.25">
      <c r="A28" s="211"/>
      <c r="B28" s="211"/>
      <c r="C28" s="211"/>
      <c r="D28" s="211"/>
      <c r="E28" s="2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jabir sheekh maxmud</vt:lpstr>
      <vt:lpstr>ismahan</vt:lpstr>
      <vt:lpstr>liiban yare</vt:lpstr>
      <vt:lpstr>xabiib xashi</vt:lpstr>
      <vt:lpstr>hinda hssan</vt:lpstr>
      <vt:lpstr>jamal abdulle</vt:lpstr>
      <vt:lpstr>ahmed abdullahi</vt:lpstr>
      <vt:lpstr>maryan</vt:lpstr>
      <vt:lpstr>ceelka ciise qotax</vt:lpstr>
      <vt:lpstr>xuusen maxamed boot</vt:lpstr>
      <vt:lpstr>hassan ali farah</vt:lpstr>
      <vt:lpstr>abdirahman hassan (guutale)</vt:lpstr>
      <vt:lpstr>farsamo guryaha</vt:lpstr>
      <vt:lpstr>dahir dhagay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2025-12-19T04:21:38Z</dcterms:created>
  <dcterms:modified xsi:type="dcterms:W3CDTF">2025-12-27T06:44:21Z</dcterms:modified>
</cp:coreProperties>
</file>