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7106" windowHeight="9755"/>
  </bookViews>
  <sheets>
    <sheet name="Guutale Qantal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5" i="2" l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5" i="2"/>
  <c r="F58" i="2"/>
  <c r="F5" i="2"/>
  <c r="X34" i="2"/>
  <c r="X4" i="2"/>
  <c r="AE109" i="2"/>
  <c r="AE104" i="2"/>
  <c r="AE103" i="2"/>
  <c r="AE102" i="2"/>
  <c r="AE101" i="2"/>
  <c r="AE100" i="2"/>
  <c r="AE99" i="2"/>
  <c r="AE98" i="2"/>
  <c r="AE97" i="2"/>
  <c r="AE96" i="2"/>
  <c r="AE95" i="2"/>
  <c r="AE91" i="2"/>
  <c r="AE90" i="2"/>
  <c r="AE89" i="2"/>
  <c r="AE88" i="2"/>
  <c r="AE87" i="2"/>
  <c r="AE86" i="2"/>
  <c r="AE85" i="2"/>
  <c r="AE84" i="2"/>
  <c r="AE83" i="2"/>
  <c r="AE78" i="2"/>
  <c r="AE77" i="2"/>
  <c r="AE76" i="2"/>
  <c r="AE75" i="2"/>
  <c r="AE74" i="2"/>
  <c r="AE73" i="2"/>
  <c r="AE72" i="2"/>
  <c r="AE66" i="2"/>
  <c r="AE65" i="2"/>
  <c r="AE64" i="2"/>
  <c r="AE63" i="2"/>
  <c r="AE62" i="2"/>
  <c r="AE61" i="2"/>
  <c r="AE60" i="2"/>
  <c r="AE55" i="2"/>
  <c r="F57" i="2"/>
  <c r="AE54" i="2"/>
  <c r="F56" i="2"/>
  <c r="AE53" i="2"/>
  <c r="F55" i="2"/>
  <c r="AE52" i="2"/>
  <c r="F54" i="2"/>
  <c r="AE51" i="2"/>
  <c r="F53" i="2"/>
  <c r="AE50" i="2"/>
  <c r="F51" i="2"/>
  <c r="F50" i="2"/>
  <c r="F49" i="2"/>
  <c r="AE46" i="2"/>
  <c r="F48" i="2"/>
  <c r="F47" i="2"/>
  <c r="F46" i="2"/>
  <c r="AE42" i="2"/>
  <c r="F44" i="2"/>
  <c r="AE41" i="2"/>
  <c r="F43" i="2"/>
  <c r="AE40" i="2"/>
  <c r="R40" i="2"/>
  <c r="F42" i="2"/>
  <c r="R39" i="2"/>
  <c r="F41" i="2"/>
  <c r="R38" i="2"/>
  <c r="F40" i="2"/>
  <c r="R37" i="2"/>
  <c r="F39" i="2"/>
  <c r="R36" i="2"/>
  <c r="F38" i="2"/>
  <c r="AE35" i="2"/>
  <c r="R35" i="2"/>
  <c r="F37" i="2"/>
  <c r="AE34" i="2"/>
  <c r="R34" i="2"/>
  <c r="F36" i="2"/>
  <c r="AE33" i="2"/>
  <c r="R33" i="2"/>
  <c r="F35" i="2"/>
  <c r="X32" i="2"/>
  <c r="R32" i="2"/>
  <c r="X31" i="2"/>
  <c r="R31" i="2"/>
  <c r="F33" i="2"/>
  <c r="X30" i="2"/>
  <c r="R30" i="2"/>
  <c r="F32" i="2"/>
  <c r="AE29" i="2"/>
  <c r="X29" i="2"/>
  <c r="R29" i="2"/>
  <c r="F31" i="2"/>
  <c r="AE28" i="2"/>
  <c r="X28" i="2"/>
  <c r="R28" i="2"/>
  <c r="AE27" i="2"/>
  <c r="X27" i="2"/>
  <c r="R27" i="2"/>
  <c r="F29" i="2"/>
  <c r="X26" i="2"/>
  <c r="R26" i="2"/>
  <c r="F28" i="2"/>
  <c r="X25" i="2"/>
  <c r="R25" i="2"/>
  <c r="AE24" i="2"/>
  <c r="X24" i="2"/>
  <c r="R24" i="2"/>
  <c r="F26" i="2"/>
  <c r="X23" i="2"/>
  <c r="R23" i="2"/>
  <c r="AE22" i="2"/>
  <c r="X22" i="2"/>
  <c r="R22" i="2"/>
  <c r="F24" i="2"/>
  <c r="X21" i="2"/>
  <c r="R21" i="2"/>
  <c r="F23" i="2"/>
  <c r="X20" i="2"/>
  <c r="R20" i="2"/>
  <c r="X19" i="2"/>
  <c r="R19" i="2"/>
  <c r="F21" i="2"/>
  <c r="X18" i="2"/>
  <c r="R18" i="2"/>
  <c r="F20" i="2"/>
  <c r="AE17" i="2"/>
  <c r="X17" i="2"/>
  <c r="R17" i="2"/>
  <c r="F19" i="2"/>
  <c r="AE16" i="2"/>
  <c r="X16" i="2"/>
  <c r="R16" i="2"/>
  <c r="F18" i="2"/>
  <c r="AE15" i="2"/>
  <c r="X15" i="2"/>
  <c r="R15" i="2"/>
  <c r="F17" i="2"/>
  <c r="AE14" i="2"/>
  <c r="X14" i="2"/>
  <c r="R14" i="2"/>
  <c r="AE13" i="2"/>
  <c r="X13" i="2"/>
  <c r="R13" i="2"/>
  <c r="F15" i="2"/>
  <c r="AE12" i="2"/>
  <c r="X12" i="2"/>
  <c r="R12" i="2"/>
  <c r="F14" i="2"/>
  <c r="AE11" i="2"/>
  <c r="X11" i="2"/>
  <c r="R11" i="2"/>
  <c r="F13" i="2"/>
  <c r="AE10" i="2"/>
  <c r="R10" i="2"/>
  <c r="F12" i="2"/>
  <c r="AE9" i="2"/>
  <c r="X9" i="2"/>
  <c r="R9" i="2"/>
  <c r="F11" i="2"/>
  <c r="AE8" i="2"/>
  <c r="X8" i="2"/>
  <c r="R8" i="2"/>
  <c r="F10" i="2"/>
  <c r="AE7" i="2"/>
  <c r="X7" i="2"/>
  <c r="R7" i="2"/>
  <c r="F9" i="2"/>
  <c r="AE6" i="2"/>
  <c r="R6" i="2"/>
  <c r="F8" i="2"/>
  <c r="AE5" i="2"/>
  <c r="X5" i="2"/>
  <c r="R5" i="2"/>
  <c r="F7" i="2"/>
  <c r="AE4" i="2"/>
  <c r="R4" i="2"/>
  <c r="F6" i="2"/>
  <c r="AE3" i="2"/>
  <c r="R45" i="2" l="1"/>
</calcChain>
</file>

<file path=xl/sharedStrings.xml><?xml version="1.0" encoding="utf-8"?>
<sst xmlns="http://schemas.openxmlformats.org/spreadsheetml/2006/main" count="404" uniqueCount="245">
  <si>
    <t>Qeybta Rinjiga</t>
  </si>
  <si>
    <t xml:space="preserve">data </t>
  </si>
  <si>
    <t>code</t>
  </si>
  <si>
    <t>itemname</t>
  </si>
  <si>
    <t>qty</t>
  </si>
  <si>
    <t>price</t>
  </si>
  <si>
    <t>amount</t>
  </si>
  <si>
    <t>14/12/25</t>
  </si>
  <si>
    <t>national muralin f</t>
  </si>
  <si>
    <t>nova muralin f</t>
  </si>
  <si>
    <t>ritver muralin f</t>
  </si>
  <si>
    <t>Galon ismalto national</t>
  </si>
  <si>
    <t>galan smalto national</t>
  </si>
  <si>
    <t>Galon ismalto Ridver</t>
  </si>
  <si>
    <t>ritver smalto galan</t>
  </si>
  <si>
    <t>galon muralin Ridver</t>
  </si>
  <si>
    <t>ritver muralin galan</t>
  </si>
  <si>
    <t>muralin galon national</t>
  </si>
  <si>
    <t>galan muralin national</t>
  </si>
  <si>
    <t>Nova galan muralin</t>
  </si>
  <si>
    <t>nofa muralin galan</t>
  </si>
  <si>
    <t>National 1kg ismalto</t>
  </si>
  <si>
    <t>national 1k smalto</t>
  </si>
  <si>
    <t>varnish</t>
  </si>
  <si>
    <t>Ridver ismalto 1kg</t>
  </si>
  <si>
    <t>ritved 1k smalto</t>
  </si>
  <si>
    <t>ritved 1k smalto black</t>
  </si>
  <si>
    <t>Rinji Dahabi</t>
  </si>
  <si>
    <t>kolo wayn</t>
  </si>
  <si>
    <t>koolo yaryar</t>
  </si>
  <si>
    <t>faseexad dahabi</t>
  </si>
  <si>
    <t>faseexad furan</t>
  </si>
  <si>
    <t>faseexad madow yar</t>
  </si>
  <si>
    <t>qataar wayn</t>
  </si>
  <si>
    <t>qataar madoobe</t>
  </si>
  <si>
    <t>buris faryaamo dab gaduud</t>
  </si>
  <si>
    <t>buris deeco yar</t>
  </si>
  <si>
    <t>masaar foondi</t>
  </si>
  <si>
    <t>buris deeco 1kg</t>
  </si>
  <si>
    <t>sakafero madow</t>
  </si>
  <si>
    <t>miishaar prazil</t>
  </si>
  <si>
    <t>sakafero maniko</t>
  </si>
  <si>
    <t>digsi goysmo 7</t>
  </si>
  <si>
    <t>digsi goysmo 9</t>
  </si>
  <si>
    <t>filasibili  1/2</t>
  </si>
  <si>
    <t>filasibili 3/4</t>
  </si>
  <si>
    <t>isbiritiri lefal /labeel</t>
  </si>
  <si>
    <t>Qalbka dhismaha yar yar</t>
  </si>
  <si>
    <t>data</t>
  </si>
  <si>
    <t>itemaname</t>
  </si>
  <si>
    <t>qaado moqorof 20</t>
  </si>
  <si>
    <t>qaado moqorof 22</t>
  </si>
  <si>
    <t>alaxan</t>
  </si>
  <si>
    <t>Qeybts musqusha</t>
  </si>
  <si>
    <t>fadhi tuuji</t>
  </si>
  <si>
    <t>fadhi tuuji Turki</t>
  </si>
  <si>
    <t>siifone Turkii</t>
  </si>
  <si>
    <t>saacad sisma 1/2</t>
  </si>
  <si>
    <t>saacad dabaqayn</t>
  </si>
  <si>
    <t>s/shinays mar steer 1/2</t>
  </si>
  <si>
    <t>sala shinays sanwa 1/2</t>
  </si>
  <si>
    <t xml:space="preserve">kolo cano biyaango </t>
  </si>
  <si>
    <t>dun isbaago</t>
  </si>
  <si>
    <t>burash 4x4 waa wawayn</t>
  </si>
  <si>
    <t>burash 3 birimo</t>
  </si>
  <si>
    <t>burash 2.5 birimo</t>
  </si>
  <si>
    <t>burash 2 birimo</t>
  </si>
  <si>
    <t>wala,wale jiif 3/4</t>
  </si>
  <si>
    <t>wala,wale moolo 3/4</t>
  </si>
  <si>
    <t>wala wale 1/2</t>
  </si>
  <si>
    <t>wala wale 1/2 moolo</t>
  </si>
  <si>
    <t>aresto ppr 3/4</t>
  </si>
  <si>
    <t>arest armax 3/4</t>
  </si>
  <si>
    <t xml:space="preserve">excel shataf </t>
  </si>
  <si>
    <t>tiflon</t>
  </si>
  <si>
    <t>isbalto makinad 10</t>
  </si>
  <si>
    <t>isbalto makinad 8</t>
  </si>
  <si>
    <t>tabeti blue</t>
  </si>
  <si>
    <t>tabeti red</t>
  </si>
  <si>
    <t>tabeti black</t>
  </si>
  <si>
    <t>tabeti creen</t>
  </si>
  <si>
    <t>tabeti yalow</t>
  </si>
  <si>
    <t>Tabeeti</t>
  </si>
  <si>
    <t>burash role</t>
  </si>
  <si>
    <t>mitir 30m</t>
  </si>
  <si>
    <t>mitir 5m</t>
  </si>
  <si>
    <t>soofe 5</t>
  </si>
  <si>
    <t>soofe 7</t>
  </si>
  <si>
    <t>koolo istuko yar</t>
  </si>
  <si>
    <t>koolo istuko wayn</t>
  </si>
  <si>
    <t>milano shataf</t>
  </si>
  <si>
    <t>biinso caadi</t>
  </si>
  <si>
    <t>binsa ltanaliyo</t>
  </si>
  <si>
    <t>kaarto</t>
  </si>
  <si>
    <t>rashketo 4</t>
  </si>
  <si>
    <t>fargeto</t>
  </si>
  <si>
    <t>maaso</t>
  </si>
  <si>
    <t>garwayn</t>
  </si>
  <si>
    <t>balakin</t>
  </si>
  <si>
    <t>masax  fargaas 20x36</t>
  </si>
  <si>
    <t>masax fargaas 18x32</t>
  </si>
  <si>
    <t>masax fargaas 14x28</t>
  </si>
  <si>
    <t>rashketo 3</t>
  </si>
  <si>
    <t>daab garwayn</t>
  </si>
  <si>
    <t>shataf oasi</t>
  </si>
  <si>
    <t>galofis wayn</t>
  </si>
  <si>
    <t>galofis yar</t>
  </si>
  <si>
    <t>aresto beta</t>
  </si>
  <si>
    <t>baleti 12x12</t>
  </si>
  <si>
    <t xml:space="preserve"> dosh isnode yar /shaawar</t>
  </si>
  <si>
    <t>baraasha dosh</t>
  </si>
  <si>
    <t>dosh kunburash</t>
  </si>
  <si>
    <t>aresto ingasaato</t>
  </si>
  <si>
    <t>dabool tuuji</t>
  </si>
  <si>
    <t>bac 15x18</t>
  </si>
  <si>
    <t>bac 12x15</t>
  </si>
  <si>
    <t>Ul Burash Ruule</t>
  </si>
  <si>
    <t>rubuneto ok fixed</t>
  </si>
  <si>
    <t>rubuneto sanwa 1/2</t>
  </si>
  <si>
    <t>bb baleti bayminto ex</t>
  </si>
  <si>
    <t>bbshsh baleti bayminto 15x15</t>
  </si>
  <si>
    <t>Qeybta dhismaha wa weynka</t>
  </si>
  <si>
    <t>Bacweyne 28</t>
  </si>
  <si>
    <t xml:space="preserve">Bacweyne </t>
  </si>
  <si>
    <t>BacwEyne 22</t>
  </si>
  <si>
    <t xml:space="preserve">Bushan </t>
  </si>
  <si>
    <t>bushaan 34 cadaan</t>
  </si>
  <si>
    <t>bushaan 32 cadaan</t>
  </si>
  <si>
    <t>bushaan 32 kalar</t>
  </si>
  <si>
    <t>Alwax</t>
  </si>
  <si>
    <t>isteeli 5</t>
  </si>
  <si>
    <t>m.murale</t>
  </si>
  <si>
    <t>Towlo 10</t>
  </si>
  <si>
    <t>towlo 15</t>
  </si>
  <si>
    <t>isteeli 4</t>
  </si>
  <si>
    <t>Qeybta Tuboyinka iyo qalboda</t>
  </si>
  <si>
    <t>Tubo saydisho 16</t>
  </si>
  <si>
    <t>Tubo dodisho 12</t>
  </si>
  <si>
    <t>Tubo kundhisho 11</t>
  </si>
  <si>
    <t>Tubo diisho 10</t>
  </si>
  <si>
    <t>Tubo ote 8</t>
  </si>
  <si>
    <t>Tubo jinkuwa 5</t>
  </si>
  <si>
    <t>Tubo Tuwe 2</t>
  </si>
  <si>
    <t>Tubo unameso 11/2</t>
  </si>
  <si>
    <t>unpolis 1</t>
  </si>
  <si>
    <t>Tubo meeso 1/2</t>
  </si>
  <si>
    <t>tiroqurato 3/4</t>
  </si>
  <si>
    <t>Tubo koronto</t>
  </si>
  <si>
    <t>Tubo PPr 3/4 liisho</t>
  </si>
  <si>
    <t xml:space="preserve">Tubo ppr1/2 </t>
  </si>
  <si>
    <t>Tubo ppr  3/4</t>
  </si>
  <si>
    <t>musmar 6</t>
  </si>
  <si>
    <t>musmar7 cadi</t>
  </si>
  <si>
    <t>musmar 5</t>
  </si>
  <si>
    <t>musmar 2</t>
  </si>
  <si>
    <t>musmar sabe 6</t>
  </si>
  <si>
    <t xml:space="preserve">musmar sabe 7 </t>
  </si>
  <si>
    <t>musmar sabe 5</t>
  </si>
  <si>
    <t>musmar sabe 4</t>
  </si>
  <si>
    <t>musmar sabe 2</t>
  </si>
  <si>
    <t>shamito</t>
  </si>
  <si>
    <t>macjun</t>
  </si>
  <si>
    <t>safito sharaxley</t>
  </si>
  <si>
    <t>kumasato uno</t>
  </si>
  <si>
    <t>gomito 16</t>
  </si>
  <si>
    <t>Gomito waweyn 16</t>
  </si>
  <si>
    <t>Gomito 12</t>
  </si>
  <si>
    <t>Gomito  12</t>
  </si>
  <si>
    <t>kundisho 11</t>
  </si>
  <si>
    <t>Gomito11</t>
  </si>
  <si>
    <t>Tee caag 11</t>
  </si>
  <si>
    <t>manakoto caag 11</t>
  </si>
  <si>
    <t>Diisho 10</t>
  </si>
  <si>
    <t>Gomito caag 10</t>
  </si>
  <si>
    <t>Tee caag 10</t>
  </si>
  <si>
    <t>manakoto  caag 10</t>
  </si>
  <si>
    <t>OTE 8</t>
  </si>
  <si>
    <t>Gomito ote 8</t>
  </si>
  <si>
    <t>Tee ote 8</t>
  </si>
  <si>
    <t>manakoto ote 8</t>
  </si>
  <si>
    <t>JInguwa5</t>
  </si>
  <si>
    <t>Gomito 5</t>
  </si>
  <si>
    <t>Tuwe 2</t>
  </si>
  <si>
    <t>manakoto 2</t>
  </si>
  <si>
    <t xml:space="preserve"> Tii caag 2</t>
  </si>
  <si>
    <t>Gomito  cag 2</t>
  </si>
  <si>
    <t>adhabtar caag 2</t>
  </si>
  <si>
    <t>Ruduser 2/1/2</t>
  </si>
  <si>
    <t>Ruduser 2/3/4</t>
  </si>
  <si>
    <t>unamesa 11/2</t>
  </si>
  <si>
    <t>Manakoto 11/2</t>
  </si>
  <si>
    <t>adhabtar 11/2</t>
  </si>
  <si>
    <t>Taabo caag 11/2</t>
  </si>
  <si>
    <t>Ruduser 11/2/1/2</t>
  </si>
  <si>
    <t>Ruduser 11/2/1</t>
  </si>
  <si>
    <t>Ruduser 11/2/3/4</t>
  </si>
  <si>
    <t>unpolis1</t>
  </si>
  <si>
    <t>Gomito caag 1</t>
  </si>
  <si>
    <t>Tii caag 1</t>
  </si>
  <si>
    <t>manakoto caag 1</t>
  </si>
  <si>
    <t>adhabtar caag 1</t>
  </si>
  <si>
    <t>Tabo caag 1</t>
  </si>
  <si>
    <t>Ruduser 1/1/2</t>
  </si>
  <si>
    <t>Ruduser 2/1/</t>
  </si>
  <si>
    <t>Tiroqurato 3/4</t>
  </si>
  <si>
    <t>Gomito caag 3/4</t>
  </si>
  <si>
    <t>Tii caag 3/4</t>
  </si>
  <si>
    <t>manakoto caag 3/4</t>
  </si>
  <si>
    <t>Adhabtar caag 3/4</t>
  </si>
  <si>
    <t>Niibal bir 3/4</t>
  </si>
  <si>
    <t>tee bir 3/4</t>
  </si>
  <si>
    <t>manakoto bir 3/4</t>
  </si>
  <si>
    <t>Gomito bir 3/4</t>
  </si>
  <si>
    <t>MEESO 1/2</t>
  </si>
  <si>
    <t>Tabo caag 1/2</t>
  </si>
  <si>
    <t>adhabtar caag 1/2</t>
  </si>
  <si>
    <t>manakoto  caag 1/2</t>
  </si>
  <si>
    <t>Gomito caag 1/2</t>
  </si>
  <si>
    <t>Tii  caag 1/2</t>
  </si>
  <si>
    <t>ruduser 1/1/2</t>
  </si>
  <si>
    <t>Tii Biir 1/2</t>
  </si>
  <si>
    <t>manakoto  biir 1/2</t>
  </si>
  <si>
    <t>Gomito biir 1/2</t>
  </si>
  <si>
    <t xml:space="preserve"> Niibal bir 1/2</t>
  </si>
  <si>
    <t>Ruduser 3/4/1/2</t>
  </si>
  <si>
    <t>xarar</t>
  </si>
  <si>
    <t>Rubuneto  quful</t>
  </si>
  <si>
    <t>badeel dab gab</t>
  </si>
  <si>
    <t>badel wayn af,cade</t>
  </si>
  <si>
    <t>silig burundi</t>
  </si>
  <si>
    <t>tubo waraab wayn 3/4</t>
  </si>
  <si>
    <t>Column1</t>
  </si>
  <si>
    <t>Column2</t>
  </si>
  <si>
    <t>Column3</t>
  </si>
  <si>
    <t>Column4</t>
  </si>
  <si>
    <t>Column5</t>
  </si>
  <si>
    <t>14/12/26</t>
  </si>
  <si>
    <t>sakeel primo madow</t>
  </si>
  <si>
    <t>Tubo waraab wayn 1/2</t>
  </si>
  <si>
    <t>sakatuuro ampo weyn</t>
  </si>
  <si>
    <t>sakatuur ff  weyn</t>
  </si>
  <si>
    <t>sakaturo FF  yar yar</t>
  </si>
  <si>
    <t>filo feero silig madow</t>
  </si>
  <si>
    <t xml:space="preserve">sacad dhameystiran </t>
  </si>
  <si>
    <t>TOTAlka guud ee albta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</si>
</sst>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ahoma"/>
      <family val="2"/>
    </font>
    <font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9BCBF7"/>
        <bgColor theme="4" tint="0.79998168889431442"/>
      </patternFill>
    </fill>
    <fill>
      <patternFill patternType="solid">
        <fgColor rgb="FF9BCBF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6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80">
    <xf numFmtId="0" fontId="0" fillId="0" borderId="0" xfId="0"/>
    <xf numFmtId="0" fontId="4" fillId="5" borderId="1" xfId="0" applyFont="1" applyFill="1" applyBorder="1"/>
    <xf numFmtId="0" fontId="0" fillId="6" borderId="3" xfId="0" applyFill="1" applyBorder="1"/>
    <xf numFmtId="0" fontId="0" fillId="0" borderId="3" xfId="0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8" borderId="2" xfId="0" applyFont="1" applyFill="1" applyBorder="1"/>
    <xf numFmtId="0" fontId="1" fillId="8" borderId="3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164" fontId="4" fillId="5" borderId="1" xfId="0" applyNumberFormat="1" applyFont="1" applyFill="1" applyBorder="1"/>
    <xf numFmtId="164" fontId="1" fillId="8" borderId="3" xfId="0" applyNumberFormat="1" applyFont="1" applyFill="1" applyBorder="1"/>
    <xf numFmtId="164" fontId="1" fillId="3" borderId="3" xfId="0" applyNumberFormat="1" applyFont="1" applyFill="1" applyBorder="1"/>
    <xf numFmtId="164" fontId="0" fillId="0" borderId="0" xfId="0" applyNumberFormat="1"/>
    <xf numFmtId="0" fontId="1" fillId="9" borderId="2" xfId="0" applyFont="1" applyFill="1" applyBorder="1"/>
    <xf numFmtId="0" fontId="1" fillId="9" borderId="3" xfId="0" applyFont="1" applyFill="1" applyBorder="1"/>
    <xf numFmtId="0" fontId="1" fillId="10" borderId="2" xfId="0" applyFont="1" applyFill="1" applyBorder="1"/>
    <xf numFmtId="0" fontId="1" fillId="10" borderId="3" xfId="0" applyFont="1" applyFill="1" applyBorder="1"/>
    <xf numFmtId="164" fontId="1" fillId="9" borderId="3" xfId="0" applyNumberFormat="1" applyFont="1" applyFill="1" applyBorder="1"/>
    <xf numFmtId="164" fontId="1" fillId="10" borderId="3" xfId="0" applyNumberFormat="1" applyFont="1" applyFill="1" applyBorder="1"/>
    <xf numFmtId="164" fontId="1" fillId="0" borderId="3" xfId="0" applyNumberFormat="1" applyFont="1" applyBorder="1"/>
    <xf numFmtId="164" fontId="1" fillId="6" borderId="3" xfId="0" applyNumberFormat="1" applyFont="1" applyFill="1" applyBorder="1"/>
    <xf numFmtId="0" fontId="1" fillId="4" borderId="1" xfId="0" applyFont="1" applyFill="1" applyBorder="1"/>
    <xf numFmtId="0" fontId="1" fillId="7" borderId="1" xfId="0" applyFont="1" applyFill="1" applyBorder="1"/>
    <xf numFmtId="0" fontId="1" fillId="11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164" fontId="1" fillId="4" borderId="1" xfId="0" applyNumberFormat="1" applyFont="1" applyFill="1" applyBorder="1"/>
    <xf numFmtId="164" fontId="1" fillId="7" borderId="1" xfId="0" applyNumberFormat="1" applyFont="1" applyFill="1" applyBorder="1"/>
    <xf numFmtId="164" fontId="1" fillId="11" borderId="1" xfId="0" applyNumberFormat="1" applyFont="1" applyFill="1" applyBorder="1"/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0" fontId="1" fillId="12" borderId="1" xfId="0" applyFont="1" applyFill="1" applyBorder="1"/>
    <xf numFmtId="164" fontId="1" fillId="12" borderId="1" xfId="0" applyNumberFormat="1" applyFont="1" applyFill="1" applyBorder="1"/>
    <xf numFmtId="0" fontId="1" fillId="13" borderId="1" xfId="0" applyFont="1" applyFill="1" applyBorder="1"/>
    <xf numFmtId="164" fontId="1" fillId="13" borderId="1" xfId="0" applyNumberFormat="1" applyFont="1" applyFill="1" applyBorder="1"/>
    <xf numFmtId="14" fontId="0" fillId="0" borderId="0" xfId="0" applyNumberFormat="1"/>
    <xf numFmtId="0" fontId="1" fillId="13" borderId="5" xfId="0" applyFont="1" applyFill="1" applyBorder="1"/>
    <xf numFmtId="0" fontId="1" fillId="0" borderId="6" xfId="0" applyFont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14" fontId="2" fillId="5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164" fontId="0" fillId="14" borderId="0" xfId="0" applyNumberFormat="1" applyFill="1"/>
    <xf numFmtId="0" fontId="1" fillId="0" borderId="7" xfId="0" applyFont="1" applyBorder="1"/>
    <xf numFmtId="0" fontId="1" fillId="0" borderId="4" xfId="0" applyFont="1" applyBorder="1"/>
    <xf numFmtId="164" fontId="0" fillId="14" borderId="1" xfId="0" applyNumberFormat="1" applyFill="1" applyBorder="1"/>
    <xf numFmtId="0" fontId="0" fillId="0" borderId="1" xfId="0" applyBorder="1"/>
    <xf numFmtId="0" fontId="5" fillId="5" borderId="0" xfId="0" applyFont="1" applyFill="1"/>
    <xf numFmtId="164" fontId="5" fillId="5" borderId="0" xfId="0" applyNumberFormat="1" applyFont="1" applyFill="1"/>
    <xf numFmtId="0" fontId="0" fillId="6" borderId="0" xfId="0" applyFill="1"/>
    <xf numFmtId="164" fontId="0" fillId="6" borderId="0" xfId="0" applyNumberFormat="1" applyFill="1"/>
    <xf numFmtId="0" fontId="0" fillId="3" borderId="1" xfId="0" applyFill="1" applyBorder="1"/>
    <xf numFmtId="0" fontId="0" fillId="2" borderId="0" xfId="0" applyFill="1"/>
    <xf numFmtId="164" fontId="0" fillId="2" borderId="0" xfId="0" applyNumberFormat="1" applyFill="1"/>
    <xf numFmtId="0" fontId="0" fillId="2" borderId="1" xfId="0" applyFill="1" applyBorder="1"/>
    <xf numFmtId="164" fontId="0" fillId="2" borderId="1" xfId="0" applyNumberFormat="1" applyFill="1" applyBorder="1"/>
    <xf numFmtId="0" fontId="7" fillId="2" borderId="1" xfId="0" applyFont="1" applyFill="1" applyBorder="1"/>
    <xf numFmtId="164" fontId="7" fillId="14" borderId="1" xfId="0" applyNumberFormat="1" applyFont="1" applyFill="1" applyBorder="1"/>
    <xf numFmtId="164" fontId="0" fillId="0" borderId="3" xfId="0" applyNumberFormat="1" applyBorder="1"/>
    <xf numFmtId="164" fontId="0" fillId="6" borderId="3" xfId="0" applyNumberFormat="1" applyFill="1" applyBorder="1"/>
    <xf numFmtId="0" fontId="0" fillId="11" borderId="3" xfId="0" applyFill="1" applyBorder="1"/>
    <xf numFmtId="164" fontId="0" fillId="11" borderId="3" xfId="0" applyNumberFormat="1" applyFill="1" applyBorder="1"/>
    <xf numFmtId="0" fontId="0" fillId="2" borderId="3" xfId="0" applyFill="1" applyBorder="1"/>
    <xf numFmtId="164" fontId="0" fillId="2" borderId="3" xfId="0" applyNumberFormat="1" applyFill="1" applyBorder="1"/>
    <xf numFmtId="0" fontId="0" fillId="6" borderId="4" xfId="0" applyFill="1" applyBorder="1"/>
    <xf numFmtId="164" fontId="0" fillId="6" borderId="4" xfId="0" applyNumberFormat="1" applyFill="1" applyBorder="1"/>
    <xf numFmtId="164" fontId="0" fillId="3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0" fontId="4" fillId="4" borderId="1" xfId="0" applyFont="1" applyFill="1" applyBorder="1"/>
    <xf numFmtId="164" fontId="1" fillId="0" borderId="4" xfId="0" applyNumberFormat="1" applyFont="1" applyBorder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1" fillId="6" borderId="7" xfId="0" applyFont="1" applyFill="1" applyBorder="1"/>
    <xf numFmtId="0" fontId="1" fillId="6" borderId="4" xfId="0" applyFont="1" applyFill="1" applyBorder="1"/>
    <xf numFmtId="164" fontId="1" fillId="6" borderId="4" xfId="0" applyNumberFormat="1" applyFont="1" applyFill="1" applyBorder="1"/>
    <xf numFmtId="0" fontId="1" fillId="0" borderId="9" xfId="0" applyFont="1" applyBorder="1"/>
    <xf numFmtId="164" fontId="1" fillId="0" borderId="6" xfId="0" applyNumberFormat="1" applyFont="1" applyBorder="1"/>
    <xf numFmtId="0" fontId="1" fillId="6" borderId="10" xfId="0" applyFont="1" applyFill="1" applyBorder="1"/>
    <xf numFmtId="0" fontId="1" fillId="6" borderId="0" xfId="0" applyFont="1" applyFill="1"/>
    <xf numFmtId="164" fontId="1" fillId="6" borderId="0" xfId="0" applyNumberFormat="1" applyFont="1" applyFill="1"/>
    <xf numFmtId="0" fontId="1" fillId="6" borderId="9" xfId="0" applyFont="1" applyFill="1" applyBorder="1"/>
    <xf numFmtId="0" fontId="1" fillId="6" borderId="6" xfId="0" applyFont="1" applyFill="1" applyBorder="1"/>
    <xf numFmtId="164" fontId="1" fillId="6" borderId="6" xfId="0" applyNumberFormat="1" applyFont="1" applyFill="1" applyBorder="1"/>
    <xf numFmtId="164" fontId="1" fillId="8" borderId="4" xfId="0" applyNumberFormat="1" applyFont="1" applyFill="1" applyBorder="1"/>
    <xf numFmtId="0" fontId="1" fillId="13" borderId="11" xfId="0" applyFont="1" applyFill="1" applyBorder="1"/>
    <xf numFmtId="0" fontId="2" fillId="4" borderId="0" xfId="0" applyFont="1" applyFill="1"/>
    <xf numFmtId="164" fontId="2" fillId="4" borderId="0" xfId="0" applyNumberFormat="1" applyFont="1" applyFill="1"/>
    <xf numFmtId="0" fontId="0" fillId="4" borderId="1" xfId="0" applyFill="1" applyBorder="1"/>
    <xf numFmtId="164" fontId="0" fillId="4" borderId="1" xfId="0" applyNumberFormat="1" applyFill="1" applyBorder="1"/>
    <xf numFmtId="0" fontId="0" fillId="0" borderId="6" xfId="0" applyBorder="1"/>
    <xf numFmtId="164" fontId="0" fillId="0" borderId="6" xfId="0" applyNumberFormat="1" applyBorder="1"/>
    <xf numFmtId="0" fontId="0" fillId="6" borderId="6" xfId="0" applyFill="1" applyBorder="1"/>
    <xf numFmtId="164" fontId="0" fillId="6" borderId="6" xfId="0" applyNumberFormat="1" applyFill="1" applyBorder="1"/>
    <xf numFmtId="0" fontId="0" fillId="15" borderId="0" xfId="0" applyFill="1"/>
    <xf numFmtId="164" fontId="0" fillId="15" borderId="0" xfId="0" applyNumberFormat="1" applyFill="1"/>
    <xf numFmtId="0" fontId="1" fillId="3" borderId="13" xfId="0" applyFont="1" applyFill="1" applyBorder="1" applyAlignment="1">
      <alignment horizontal="center"/>
    </xf>
    <xf numFmtId="0" fontId="0" fillId="6" borderId="0" xfId="0" applyFill="1" applyBorder="1"/>
    <xf numFmtId="164" fontId="7" fillId="14" borderId="12" xfId="0" applyNumberFormat="1" applyFont="1" applyFill="1" applyBorder="1"/>
    <xf numFmtId="164" fontId="0" fillId="15" borderId="1" xfId="0" applyNumberFormat="1" applyFill="1" applyBorder="1"/>
    <xf numFmtId="0" fontId="0" fillId="2" borderId="1" xfId="0" applyFill="1" applyBorder="1" applyAlignment="1"/>
    <xf numFmtId="0" fontId="5" fillId="15" borderId="0" xfId="0" applyFont="1" applyFill="1"/>
    <xf numFmtId="164" fontId="5" fillId="15" borderId="0" xfId="0" applyNumberFormat="1" applyFont="1" applyFill="1"/>
    <xf numFmtId="0" fontId="1" fillId="4" borderId="14" xfId="0" applyFont="1" applyFill="1" applyBorder="1"/>
    <xf numFmtId="164" fontId="1" fillId="4" borderId="14" xfId="0" applyNumberFormat="1" applyFont="1" applyFill="1" applyBorder="1"/>
    <xf numFmtId="0" fontId="5" fillId="15" borderId="1" xfId="0" applyFont="1" applyFill="1" applyBorder="1"/>
    <xf numFmtId="164" fontId="5" fillId="15" borderId="1" xfId="0" applyNumberFormat="1" applyFont="1" applyFill="1" applyBorder="1"/>
    <xf numFmtId="44" fontId="0" fillId="15" borderId="0" xfId="1" applyFont="1" applyFill="1"/>
    <xf numFmtId="44" fontId="9" fillId="15" borderId="0" xfId="1" applyFont="1" applyFill="1"/>
    <xf numFmtId="0" fontId="5" fillId="0" borderId="0" xfId="0" applyFont="1"/>
    <xf numFmtId="164" fontId="10" fillId="15" borderId="0" xfId="0" applyNumberFormat="1" applyFont="1" applyFill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4" fontId="7" fillId="2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15" borderId="0" xfId="0" applyFill="1" applyAlignment="1">
      <alignment horizontal="right"/>
    </xf>
    <xf numFmtId="0" fontId="0" fillId="6" borderId="9" xfId="0" applyFill="1" applyBorder="1" applyAlignment="1">
      <alignment horizontal="right"/>
    </xf>
    <xf numFmtId="0" fontId="0" fillId="6" borderId="7" xfId="0" applyFill="1" applyBorder="1" applyAlignment="1">
      <alignment horizontal="right"/>
    </xf>
    <xf numFmtId="14" fontId="0" fillId="4" borderId="1" xfId="0" applyNumberFormat="1" applyFill="1" applyBorder="1" applyAlignment="1">
      <alignment horizontal="right"/>
    </xf>
    <xf numFmtId="14" fontId="0" fillId="3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9" xfId="0" applyNumberFormat="1" applyBorder="1" applyAlignment="1">
      <alignment horizontal="left"/>
    </xf>
    <xf numFmtId="14" fontId="0" fillId="6" borderId="9" xfId="0" applyNumberFormat="1" applyFill="1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6" borderId="2" xfId="0" applyNumberFormat="1" applyFill="1" applyBorder="1" applyAlignment="1">
      <alignment horizontal="left"/>
    </xf>
    <xf numFmtId="14" fontId="0" fillId="11" borderId="2" xfId="0" applyNumberFormat="1" applyFill="1" applyBorder="1" applyAlignment="1">
      <alignment horizontal="left"/>
    </xf>
    <xf numFmtId="14" fontId="0" fillId="2" borderId="2" xfId="0" applyNumberFormat="1" applyFill="1" applyBorder="1" applyAlignment="1">
      <alignment horizontal="left"/>
    </xf>
    <xf numFmtId="14" fontId="0" fillId="6" borderId="7" xfId="0" applyNumberFormat="1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15" borderId="1" xfId="0" applyFont="1" applyFill="1" applyBorder="1"/>
    <xf numFmtId="164" fontId="2" fillId="15" borderId="1" xfId="0" applyNumberFormat="1" applyFont="1" applyFill="1" applyBorder="1"/>
    <xf numFmtId="0" fontId="0" fillId="3" borderId="1" xfId="0" applyFill="1" applyBorder="1" applyAlignment="1"/>
    <xf numFmtId="164" fontId="2" fillId="15" borderId="0" xfId="0" applyNumberFormat="1" applyFont="1" applyFill="1"/>
    <xf numFmtId="0" fontId="5" fillId="2" borderId="15" xfId="0" applyFont="1" applyFill="1" applyBorder="1" applyAlignment="1">
      <alignment horizontal="center" vertical="top" wrapText="1"/>
    </xf>
    <xf numFmtId="0" fontId="5" fillId="2" borderId="16" xfId="0" applyFont="1" applyFill="1" applyBorder="1" applyAlignment="1">
      <alignment horizontal="center" vertical="top" wrapText="1"/>
    </xf>
    <xf numFmtId="0" fontId="5" fillId="2" borderId="17" xfId="0" applyFont="1" applyFill="1" applyBorder="1" applyAlignment="1">
      <alignment horizontal="center" vertical="top" wrapText="1"/>
    </xf>
    <xf numFmtId="0" fontId="5" fillId="2" borderId="18" xfId="0" applyFont="1" applyFill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top" wrapText="1"/>
    </xf>
    <xf numFmtId="0" fontId="5" fillId="2" borderId="20" xfId="0" applyFont="1" applyFill="1" applyBorder="1" applyAlignment="1">
      <alignment horizontal="center" vertical="top" wrapText="1"/>
    </xf>
    <xf numFmtId="0" fontId="6" fillId="2" borderId="15" xfId="0" applyFont="1" applyFill="1" applyBorder="1" applyAlignment="1">
      <alignment horizontal="center" vertical="top"/>
    </xf>
    <xf numFmtId="0" fontId="6" fillId="2" borderId="16" xfId="0" applyFont="1" applyFill="1" applyBorder="1" applyAlignment="1">
      <alignment horizontal="center" vertical="top"/>
    </xf>
    <xf numFmtId="0" fontId="6" fillId="2" borderId="17" xfId="0" applyFont="1" applyFill="1" applyBorder="1" applyAlignment="1">
      <alignment horizontal="center" vertical="top"/>
    </xf>
    <xf numFmtId="0" fontId="6" fillId="2" borderId="18" xfId="0" applyFont="1" applyFill="1" applyBorder="1" applyAlignment="1">
      <alignment horizontal="center" vertical="top"/>
    </xf>
    <xf numFmtId="0" fontId="6" fillId="2" borderId="19" xfId="0" applyFont="1" applyFill="1" applyBorder="1" applyAlignment="1">
      <alignment horizontal="center" vertical="top"/>
    </xf>
    <xf numFmtId="0" fontId="6" fillId="2" borderId="20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2" fillId="2" borderId="13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14" fontId="0" fillId="2" borderId="8" xfId="0" applyNumberFormat="1" applyFill="1" applyBorder="1" applyAlignment="1">
      <alignment horizontal="center"/>
    </xf>
    <xf numFmtId="14" fontId="0" fillId="2" borderId="13" xfId="0" applyNumberFormat="1" applyFill="1" applyBorder="1" applyAlignment="1">
      <alignment horizontal="center"/>
    </xf>
    <xf numFmtId="0" fontId="0" fillId="3" borderId="12" xfId="0" applyFill="1" applyBorder="1" applyAlignment="1">
      <alignment horizontal="center" vertical="top"/>
    </xf>
    <xf numFmtId="0" fontId="0" fillId="3" borderId="8" xfId="0" applyFill="1" applyBorder="1" applyAlignment="1">
      <alignment horizontal="center" vertical="top"/>
    </xf>
    <xf numFmtId="0" fontId="0" fillId="3" borderId="13" xfId="0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99FF66"/>
      <color rgb="FFFFFF99"/>
      <color rgb="FF9BC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H120"/>
  <sheetViews>
    <sheetView tabSelected="1" topLeftCell="A49" workbookViewId="0">
      <selection activeCell="T10" sqref="T10:X10"/>
    </sheetView>
  </sheetViews>
  <sheetFormatPr defaultRowHeight="14.85" x14ac:dyDescent="0.25"/>
  <cols>
    <col min="5" max="5" width="31.375" customWidth="1"/>
    <col min="6" max="6" width="32.875" customWidth="1"/>
    <col min="8" max="8" width="13.75" customWidth="1"/>
    <col min="9" max="9" width="17.625" customWidth="1"/>
    <col min="12" max="12" width="20.125" customWidth="1"/>
    <col min="14" max="14" width="13.75" customWidth="1"/>
    <col min="15" max="15" width="20.25" customWidth="1"/>
    <col min="18" max="18" width="13.625" customWidth="1"/>
    <col min="20" max="20" width="13.375" customWidth="1"/>
    <col min="21" max="21" width="21.875" customWidth="1"/>
    <col min="24" max="24" width="11.125" bestFit="1" customWidth="1"/>
    <col min="27" max="27" width="20.375" customWidth="1"/>
    <col min="31" max="31" width="15.625" customWidth="1"/>
  </cols>
  <sheetData>
    <row r="1" spans="1:34" ht="21.2" x14ac:dyDescent="0.3">
      <c r="A1" s="176" t="s">
        <v>0</v>
      </c>
      <c r="B1" s="176"/>
      <c r="C1" s="176"/>
      <c r="D1" s="176"/>
      <c r="E1" s="176"/>
      <c r="F1" s="176"/>
      <c r="G1" s="176"/>
      <c r="H1" s="75" t="s">
        <v>231</v>
      </c>
      <c r="I1" s="75" t="s">
        <v>232</v>
      </c>
      <c r="J1" s="75" t="s">
        <v>233</v>
      </c>
      <c r="K1" s="76" t="s">
        <v>234</v>
      </c>
      <c r="L1" s="76" t="s">
        <v>235</v>
      </c>
      <c r="Q1" s="15"/>
      <c r="R1" s="15"/>
      <c r="S1" s="177" t="s">
        <v>121</v>
      </c>
      <c r="T1" s="177"/>
      <c r="U1" s="177"/>
      <c r="V1" s="177"/>
      <c r="W1" s="177"/>
      <c r="X1" s="177"/>
      <c r="Y1" s="177"/>
      <c r="AA1" s="178" t="s">
        <v>135</v>
      </c>
      <c r="AB1" s="178"/>
      <c r="AC1" s="178"/>
      <c r="AD1" s="178"/>
      <c r="AE1" s="178"/>
      <c r="AF1" s="178"/>
      <c r="AG1" s="178"/>
      <c r="AH1" s="178"/>
    </row>
    <row r="2" spans="1:34" ht="21.2" x14ac:dyDescent="0.35">
      <c r="A2" s="1" t="s">
        <v>1</v>
      </c>
      <c r="B2" s="1" t="s">
        <v>3</v>
      </c>
      <c r="C2" s="1" t="s">
        <v>2</v>
      </c>
      <c r="D2" s="1" t="s">
        <v>4</v>
      </c>
      <c r="E2" s="12" t="s">
        <v>5</v>
      </c>
      <c r="F2" s="12" t="s">
        <v>6</v>
      </c>
      <c r="H2" s="75" t="s">
        <v>47</v>
      </c>
      <c r="I2" s="75"/>
      <c r="J2" s="75"/>
      <c r="K2" s="76"/>
      <c r="L2" s="76"/>
      <c r="N2" s="177" t="s">
        <v>53</v>
      </c>
      <c r="O2" s="177"/>
      <c r="P2" s="177"/>
      <c r="Q2" s="177"/>
      <c r="R2" s="15"/>
      <c r="T2" s="51" t="s">
        <v>48</v>
      </c>
      <c r="U2" s="51" t="s">
        <v>3</v>
      </c>
      <c r="V2" s="51" t="s">
        <v>4</v>
      </c>
      <c r="W2" s="52" t="s">
        <v>5</v>
      </c>
      <c r="X2" s="52" t="s">
        <v>6</v>
      </c>
      <c r="AA2" s="52" t="s">
        <v>48</v>
      </c>
      <c r="AB2" s="52" t="s">
        <v>3</v>
      </c>
      <c r="AC2" s="52" t="s">
        <v>4</v>
      </c>
      <c r="AD2" s="52" t="s">
        <v>5</v>
      </c>
      <c r="AE2" s="52" t="s">
        <v>6</v>
      </c>
    </row>
    <row r="3" spans="1:34" ht="21.2" x14ac:dyDescent="0.35">
      <c r="A3" s="8" t="s">
        <v>7</v>
      </c>
      <c r="B3" s="9" t="s">
        <v>8</v>
      </c>
      <c r="C3" s="9">
        <v>800</v>
      </c>
      <c r="D3" s="9">
        <v>3</v>
      </c>
      <c r="E3" s="13">
        <v>24</v>
      </c>
      <c r="K3" s="15"/>
      <c r="L3" s="15"/>
      <c r="N3" s="43" t="s">
        <v>48</v>
      </c>
      <c r="O3" s="44" t="s">
        <v>3</v>
      </c>
      <c r="P3" s="44" t="s">
        <v>4</v>
      </c>
      <c r="Q3" s="45" t="s">
        <v>5</v>
      </c>
      <c r="R3" s="45" t="s">
        <v>6</v>
      </c>
      <c r="S3" s="179" t="s">
        <v>123</v>
      </c>
      <c r="T3" s="179"/>
      <c r="U3" s="179"/>
      <c r="V3" s="179"/>
      <c r="W3" s="179"/>
      <c r="X3" s="179"/>
      <c r="AA3" s="125">
        <v>46015</v>
      </c>
      <c r="AB3" s="55" t="s">
        <v>136</v>
      </c>
      <c r="AC3" s="58">
        <v>1</v>
      </c>
      <c r="AD3" s="59">
        <v>14.5</v>
      </c>
      <c r="AE3" s="59">
        <f>AC3*AD3</f>
        <v>14.5</v>
      </c>
    </row>
    <row r="4" spans="1:34" ht="18.350000000000001" x14ac:dyDescent="0.3">
      <c r="A4" s="10" t="s">
        <v>7</v>
      </c>
      <c r="B4" s="11" t="s">
        <v>8</v>
      </c>
      <c r="C4" s="11">
        <v>802</v>
      </c>
      <c r="D4" s="11">
        <v>5</v>
      </c>
      <c r="E4" s="14">
        <v>24</v>
      </c>
      <c r="H4" s="41" t="s">
        <v>48</v>
      </c>
      <c r="I4" s="41" t="s">
        <v>49</v>
      </c>
      <c r="J4" s="41" t="s">
        <v>4</v>
      </c>
      <c r="K4" s="42" t="s">
        <v>5</v>
      </c>
      <c r="L4" s="42" t="s">
        <v>6</v>
      </c>
      <c r="N4" s="118">
        <v>46015</v>
      </c>
      <c r="O4" s="73" t="s">
        <v>54</v>
      </c>
      <c r="P4" s="60">
        <v>1</v>
      </c>
      <c r="Q4" s="61">
        <v>15.5</v>
      </c>
      <c r="R4" s="49">
        <f>P4*Q4</f>
        <v>15.5</v>
      </c>
      <c r="T4" s="117">
        <v>46015</v>
      </c>
      <c r="U4" t="s">
        <v>122</v>
      </c>
      <c r="V4">
        <v>159</v>
      </c>
      <c r="W4" s="15">
        <v>7.3</v>
      </c>
      <c r="X4" s="15">
        <f>V4*W4</f>
        <v>1160.7</v>
      </c>
      <c r="AA4" s="125">
        <v>46015</v>
      </c>
      <c r="AB4" s="55" t="s">
        <v>137</v>
      </c>
      <c r="AC4" s="58">
        <v>17</v>
      </c>
      <c r="AD4" s="59">
        <v>10.5</v>
      </c>
      <c r="AE4" s="59">
        <f t="shared" ref="AE4:AE17" si="0">AC4*AD4</f>
        <v>178.5</v>
      </c>
    </row>
    <row r="5" spans="1:34" ht="18.350000000000001" x14ac:dyDescent="0.3">
      <c r="A5" s="8" t="s">
        <v>7</v>
      </c>
      <c r="B5" s="9" t="s">
        <v>8</v>
      </c>
      <c r="C5" s="9">
        <v>801</v>
      </c>
      <c r="D5" s="9">
        <v>1</v>
      </c>
      <c r="E5" s="13">
        <v>24</v>
      </c>
      <c r="F5" s="13">
        <f t="shared" ref="F5:F15" si="1">D3*E3</f>
        <v>72</v>
      </c>
      <c r="H5" s="116" t="s">
        <v>7</v>
      </c>
      <c r="I5" t="s">
        <v>62</v>
      </c>
      <c r="J5">
        <v>41</v>
      </c>
      <c r="K5" s="15">
        <v>0.7</v>
      </c>
      <c r="L5" s="15">
        <f>J5*K5</f>
        <v>28.7</v>
      </c>
      <c r="N5" s="118">
        <v>46015</v>
      </c>
      <c r="O5" s="73" t="s">
        <v>55</v>
      </c>
      <c r="P5" s="60">
        <v>6</v>
      </c>
      <c r="Q5" s="61">
        <v>7.5</v>
      </c>
      <c r="R5" s="49">
        <f t="shared" ref="R5:R40" si="2">P5*Q5</f>
        <v>45</v>
      </c>
      <c r="T5" s="117">
        <v>46015</v>
      </c>
      <c r="U5" t="s">
        <v>124</v>
      </c>
      <c r="V5">
        <v>7</v>
      </c>
      <c r="W5" s="15">
        <v>5.7</v>
      </c>
      <c r="X5" s="15">
        <f>V5*W5</f>
        <v>39.9</v>
      </c>
      <c r="AA5" s="125">
        <v>46015</v>
      </c>
      <c r="AB5" s="55" t="s">
        <v>138</v>
      </c>
      <c r="AC5" s="58">
        <v>11</v>
      </c>
      <c r="AD5" s="59">
        <v>9.5</v>
      </c>
      <c r="AE5" s="59">
        <f t="shared" si="0"/>
        <v>104.5</v>
      </c>
    </row>
    <row r="6" spans="1:34" ht="18.350000000000001" x14ac:dyDescent="0.3">
      <c r="A6" s="10" t="s">
        <v>7</v>
      </c>
      <c r="B6" s="11" t="s">
        <v>8</v>
      </c>
      <c r="C6" s="11">
        <v>806</v>
      </c>
      <c r="D6" s="11">
        <v>1</v>
      </c>
      <c r="E6" s="14">
        <v>24</v>
      </c>
      <c r="F6" s="13">
        <f t="shared" si="1"/>
        <v>120</v>
      </c>
      <c r="H6" s="116" t="s">
        <v>7</v>
      </c>
      <c r="I6" t="s">
        <v>75</v>
      </c>
      <c r="J6">
        <v>3</v>
      </c>
      <c r="K6" s="15">
        <v>0.4</v>
      </c>
      <c r="L6" s="15">
        <f t="shared" ref="L6:L64" si="3">J6*K6</f>
        <v>1.2000000000000002</v>
      </c>
      <c r="N6" s="118">
        <v>46015</v>
      </c>
      <c r="O6" s="73" t="s">
        <v>56</v>
      </c>
      <c r="P6" s="60">
        <v>33</v>
      </c>
      <c r="Q6" s="61">
        <v>1.3</v>
      </c>
      <c r="R6" s="49">
        <f t="shared" si="2"/>
        <v>42.9</v>
      </c>
      <c r="T6" s="162" t="s">
        <v>125</v>
      </c>
      <c r="U6" s="163"/>
      <c r="V6" s="163"/>
      <c r="W6" s="163"/>
      <c r="X6" s="164"/>
      <c r="AA6" s="125">
        <v>46015</v>
      </c>
      <c r="AB6" s="55" t="s">
        <v>139</v>
      </c>
      <c r="AC6" s="58">
        <v>16</v>
      </c>
      <c r="AD6" s="59">
        <v>9</v>
      </c>
      <c r="AE6" s="59">
        <f t="shared" si="0"/>
        <v>144</v>
      </c>
    </row>
    <row r="7" spans="1:34" ht="18.350000000000001" x14ac:dyDescent="0.3">
      <c r="A7" s="16" t="s">
        <v>7</v>
      </c>
      <c r="B7" s="17" t="s">
        <v>9</v>
      </c>
      <c r="C7" s="17">
        <v>802</v>
      </c>
      <c r="D7" s="17">
        <v>4</v>
      </c>
      <c r="E7" s="20">
        <v>21</v>
      </c>
      <c r="F7" s="13">
        <f t="shared" si="1"/>
        <v>24</v>
      </c>
      <c r="H7" s="116" t="s">
        <v>7</v>
      </c>
      <c r="I7" t="s">
        <v>76</v>
      </c>
      <c r="J7">
        <v>5</v>
      </c>
      <c r="K7" s="15">
        <v>0.4</v>
      </c>
      <c r="L7" s="15">
        <f t="shared" si="3"/>
        <v>2</v>
      </c>
      <c r="N7" s="119" t="s">
        <v>7</v>
      </c>
      <c r="O7" s="73" t="s">
        <v>113</v>
      </c>
      <c r="P7" s="60">
        <v>9</v>
      </c>
      <c r="Q7" s="61">
        <v>2.5</v>
      </c>
      <c r="R7" s="49">
        <f t="shared" si="2"/>
        <v>22.5</v>
      </c>
      <c r="T7" s="122" t="s">
        <v>7</v>
      </c>
      <c r="U7" s="53" t="s">
        <v>126</v>
      </c>
      <c r="V7">
        <v>181</v>
      </c>
      <c r="W7" s="54">
        <v>2.25</v>
      </c>
      <c r="X7" s="15">
        <f>V7*W7</f>
        <v>407.25</v>
      </c>
      <c r="AA7" s="125">
        <v>46015</v>
      </c>
      <c r="AB7" s="55" t="s">
        <v>140</v>
      </c>
      <c r="AC7" s="58">
        <v>9</v>
      </c>
      <c r="AD7" s="59">
        <v>6.5</v>
      </c>
      <c r="AE7" s="59">
        <f t="shared" si="0"/>
        <v>58.5</v>
      </c>
    </row>
    <row r="8" spans="1:34" ht="18.350000000000001" x14ac:dyDescent="0.3">
      <c r="A8" s="18" t="s">
        <v>7</v>
      </c>
      <c r="B8" s="19" t="s">
        <v>9</v>
      </c>
      <c r="C8" s="19">
        <v>806</v>
      </c>
      <c r="D8" s="19">
        <v>4</v>
      </c>
      <c r="E8" s="21">
        <v>21</v>
      </c>
      <c r="F8" s="13">
        <f t="shared" si="1"/>
        <v>24</v>
      </c>
      <c r="H8" s="117">
        <v>46015</v>
      </c>
      <c r="I8" t="s">
        <v>30</v>
      </c>
      <c r="J8">
        <v>21</v>
      </c>
      <c r="K8" s="15">
        <v>1.2</v>
      </c>
      <c r="L8" s="15">
        <f t="shared" si="3"/>
        <v>25.2</v>
      </c>
      <c r="N8" s="119" t="s">
        <v>7</v>
      </c>
      <c r="O8" s="73" t="s">
        <v>73</v>
      </c>
      <c r="P8" s="60">
        <v>8</v>
      </c>
      <c r="Q8" s="61">
        <v>3.2</v>
      </c>
      <c r="R8" s="49">
        <f t="shared" si="2"/>
        <v>25.6</v>
      </c>
      <c r="T8" s="120" t="s">
        <v>7</v>
      </c>
      <c r="U8" s="53" t="s">
        <v>127</v>
      </c>
      <c r="V8">
        <v>89</v>
      </c>
      <c r="W8" s="54">
        <v>3.7</v>
      </c>
      <c r="X8" s="15">
        <f t="shared" ref="X8:X9" si="4">V8*W8</f>
        <v>329.3</v>
      </c>
      <c r="AA8" s="125">
        <v>46015</v>
      </c>
      <c r="AB8" s="55" t="s">
        <v>141</v>
      </c>
      <c r="AC8" s="58">
        <v>5</v>
      </c>
      <c r="AD8" s="59">
        <v>4.3</v>
      </c>
      <c r="AE8" s="59">
        <f t="shared" si="0"/>
        <v>21.5</v>
      </c>
    </row>
    <row r="9" spans="1:34" ht="18.350000000000001" x14ac:dyDescent="0.3">
      <c r="A9" s="16" t="s">
        <v>7</v>
      </c>
      <c r="B9" s="17" t="s">
        <v>9</v>
      </c>
      <c r="C9" s="17">
        <v>800</v>
      </c>
      <c r="D9" s="17">
        <v>4</v>
      </c>
      <c r="E9" s="20">
        <v>21</v>
      </c>
      <c r="F9" s="13">
        <f t="shared" si="1"/>
        <v>84</v>
      </c>
      <c r="H9" s="117">
        <v>46015</v>
      </c>
      <c r="I9" t="s">
        <v>31</v>
      </c>
      <c r="J9">
        <v>8</v>
      </c>
      <c r="K9" s="15">
        <v>1.66</v>
      </c>
      <c r="L9" s="15">
        <f t="shared" si="3"/>
        <v>13.28</v>
      </c>
      <c r="N9" s="119" t="s">
        <v>7</v>
      </c>
      <c r="O9" s="73" t="s">
        <v>74</v>
      </c>
      <c r="P9" s="60">
        <v>166</v>
      </c>
      <c r="Q9" s="61">
        <v>0.2</v>
      </c>
      <c r="R9" s="49">
        <f t="shared" si="2"/>
        <v>33.200000000000003</v>
      </c>
      <c r="T9" s="123" t="s">
        <v>7</v>
      </c>
      <c r="U9" s="53" t="s">
        <v>128</v>
      </c>
      <c r="V9">
        <v>8</v>
      </c>
      <c r="W9" s="54">
        <v>3.7</v>
      </c>
      <c r="X9" s="15">
        <f t="shared" si="4"/>
        <v>29.6</v>
      </c>
      <c r="AA9" s="125">
        <v>46015</v>
      </c>
      <c r="AB9" s="55" t="s">
        <v>142</v>
      </c>
      <c r="AC9" s="58">
        <v>11</v>
      </c>
      <c r="AD9" s="59">
        <v>5.3</v>
      </c>
      <c r="AE9" s="59">
        <f t="shared" si="0"/>
        <v>58.3</v>
      </c>
    </row>
    <row r="10" spans="1:34" ht="18.350000000000001" x14ac:dyDescent="0.3">
      <c r="A10" s="6" t="s">
        <v>7</v>
      </c>
      <c r="B10" s="7" t="s">
        <v>10</v>
      </c>
      <c r="C10" s="7">
        <v>801</v>
      </c>
      <c r="D10" s="7">
        <v>2</v>
      </c>
      <c r="E10" s="22">
        <v>20</v>
      </c>
      <c r="F10" s="13">
        <f t="shared" si="1"/>
        <v>84</v>
      </c>
      <c r="H10" s="117">
        <v>46015</v>
      </c>
      <c r="I10" t="s">
        <v>32</v>
      </c>
      <c r="J10">
        <v>253</v>
      </c>
      <c r="K10" s="15">
        <v>0.2</v>
      </c>
      <c r="L10" s="15">
        <f t="shared" si="3"/>
        <v>50.6</v>
      </c>
      <c r="N10" s="119" t="s">
        <v>7</v>
      </c>
      <c r="O10" s="73" t="s">
        <v>90</v>
      </c>
      <c r="P10" s="60">
        <v>12</v>
      </c>
      <c r="Q10" s="61">
        <v>2.5</v>
      </c>
      <c r="R10" s="49">
        <f t="shared" si="2"/>
        <v>30</v>
      </c>
      <c r="T10" s="162" t="s">
        <v>129</v>
      </c>
      <c r="U10" s="163"/>
      <c r="V10" s="163"/>
      <c r="W10" s="163"/>
      <c r="X10" s="164"/>
      <c r="AA10" s="125">
        <v>46015</v>
      </c>
      <c r="AB10" s="55" t="s">
        <v>143</v>
      </c>
      <c r="AC10" s="58">
        <v>2</v>
      </c>
      <c r="AD10" s="59">
        <v>4.3</v>
      </c>
      <c r="AE10" s="59">
        <f t="shared" si="0"/>
        <v>8.6</v>
      </c>
    </row>
    <row r="11" spans="1:34" ht="18.350000000000001" x14ac:dyDescent="0.3">
      <c r="A11" s="4" t="s">
        <v>7</v>
      </c>
      <c r="B11" s="5" t="s">
        <v>10</v>
      </c>
      <c r="C11" s="5">
        <v>230</v>
      </c>
      <c r="D11" s="5">
        <v>1</v>
      </c>
      <c r="E11" s="23">
        <v>20</v>
      </c>
      <c r="F11" s="13">
        <f t="shared" si="1"/>
        <v>84</v>
      </c>
      <c r="H11" s="117">
        <v>46015</v>
      </c>
      <c r="I11" t="s">
        <v>33</v>
      </c>
      <c r="J11">
        <v>228</v>
      </c>
      <c r="K11" s="15">
        <v>0.62</v>
      </c>
      <c r="L11" s="15">
        <f t="shared" si="3"/>
        <v>141.35999999999999</v>
      </c>
      <c r="N11" s="118">
        <v>46015</v>
      </c>
      <c r="O11" s="73" t="s">
        <v>28</v>
      </c>
      <c r="P11" s="60">
        <v>25</v>
      </c>
      <c r="Q11" s="61">
        <v>3.2</v>
      </c>
      <c r="R11" s="49">
        <f t="shared" si="2"/>
        <v>80</v>
      </c>
      <c r="T11" s="117">
        <v>46015</v>
      </c>
      <c r="U11" s="53" t="s">
        <v>130</v>
      </c>
      <c r="V11">
        <v>490</v>
      </c>
      <c r="W11" s="15">
        <v>1.855</v>
      </c>
      <c r="X11" s="15">
        <f>V11*W11</f>
        <v>908.95</v>
      </c>
      <c r="AA11" s="125">
        <v>46015</v>
      </c>
      <c r="AB11" s="55" t="s">
        <v>144</v>
      </c>
      <c r="AC11" s="58">
        <v>19</v>
      </c>
      <c r="AD11" s="59">
        <v>2.2999999999999998</v>
      </c>
      <c r="AE11" s="59">
        <f t="shared" si="0"/>
        <v>43.699999999999996</v>
      </c>
    </row>
    <row r="12" spans="1:34" ht="18.350000000000001" x14ac:dyDescent="0.3">
      <c r="A12" s="6" t="s">
        <v>7</v>
      </c>
      <c r="B12" s="7" t="s">
        <v>10</v>
      </c>
      <c r="C12" s="7">
        <v>802</v>
      </c>
      <c r="D12" s="7">
        <v>3</v>
      </c>
      <c r="E12" s="22">
        <v>20</v>
      </c>
      <c r="F12" s="13">
        <f t="shared" si="1"/>
        <v>40</v>
      </c>
      <c r="H12" s="117">
        <v>46015</v>
      </c>
      <c r="I12" t="s">
        <v>34</v>
      </c>
      <c r="J12">
        <v>24</v>
      </c>
      <c r="K12" s="15">
        <v>0.2</v>
      </c>
      <c r="L12" s="15">
        <f t="shared" si="3"/>
        <v>4.8000000000000007</v>
      </c>
      <c r="N12" s="118">
        <v>46015</v>
      </c>
      <c r="O12" s="73" t="s">
        <v>29</v>
      </c>
      <c r="P12" s="60">
        <v>47</v>
      </c>
      <c r="Q12" s="61">
        <v>1.2</v>
      </c>
      <c r="R12" s="49">
        <f t="shared" si="2"/>
        <v>56.4</v>
      </c>
      <c r="T12" s="117">
        <v>46015</v>
      </c>
      <c r="U12" s="53" t="s">
        <v>134</v>
      </c>
      <c r="V12">
        <v>100</v>
      </c>
      <c r="W12" s="15">
        <v>1.8</v>
      </c>
      <c r="X12" s="15">
        <f t="shared" ref="X12:X32" si="5">V12*W12</f>
        <v>180</v>
      </c>
      <c r="AA12" s="125">
        <v>46015</v>
      </c>
      <c r="AB12" s="55" t="s">
        <v>145</v>
      </c>
      <c r="AC12" s="58">
        <v>48</v>
      </c>
      <c r="AD12" s="59">
        <v>1.5</v>
      </c>
      <c r="AE12" s="59">
        <f t="shared" si="0"/>
        <v>72</v>
      </c>
    </row>
    <row r="13" spans="1:34" ht="18.350000000000001" x14ac:dyDescent="0.3">
      <c r="A13" s="78" t="s">
        <v>7</v>
      </c>
      <c r="B13" s="79" t="s">
        <v>10</v>
      </c>
      <c r="C13" s="79">
        <v>800</v>
      </c>
      <c r="D13" s="79">
        <v>1</v>
      </c>
      <c r="E13" s="80">
        <v>20</v>
      </c>
      <c r="F13" s="13">
        <f t="shared" si="1"/>
        <v>20</v>
      </c>
      <c r="H13" s="117">
        <v>46015</v>
      </c>
      <c r="I13" t="s">
        <v>35</v>
      </c>
      <c r="J13">
        <v>13</v>
      </c>
      <c r="K13" s="15">
        <v>1.458</v>
      </c>
      <c r="L13" s="15">
        <f t="shared" si="3"/>
        <v>18.954000000000001</v>
      </c>
      <c r="N13" s="118">
        <v>46015</v>
      </c>
      <c r="O13" s="73" t="s">
        <v>44</v>
      </c>
      <c r="P13" s="60">
        <v>8</v>
      </c>
      <c r="Q13" s="61">
        <v>1</v>
      </c>
      <c r="R13" s="49">
        <f t="shared" si="2"/>
        <v>8</v>
      </c>
      <c r="T13" s="117">
        <v>46015</v>
      </c>
      <c r="U13" s="53" t="s">
        <v>131</v>
      </c>
      <c r="V13">
        <v>129</v>
      </c>
      <c r="W13" s="15">
        <v>3.8180000000000001</v>
      </c>
      <c r="X13" s="15">
        <f t="shared" si="5"/>
        <v>492.52199999999999</v>
      </c>
      <c r="AA13" s="125">
        <v>46015</v>
      </c>
      <c r="AB13" s="55" t="s">
        <v>146</v>
      </c>
      <c r="AC13" s="58">
        <v>40</v>
      </c>
      <c r="AD13" s="59">
        <v>1.2</v>
      </c>
      <c r="AE13" s="59">
        <f t="shared" si="0"/>
        <v>48</v>
      </c>
    </row>
    <row r="14" spans="1:34" ht="18.350000000000001" x14ac:dyDescent="0.3">
      <c r="A14" s="167" t="s">
        <v>11</v>
      </c>
      <c r="B14" s="168"/>
      <c r="C14" s="168"/>
      <c r="D14" s="168"/>
      <c r="E14" s="169"/>
      <c r="F14" s="13">
        <f t="shared" si="1"/>
        <v>60</v>
      </c>
      <c r="H14" s="117">
        <v>46015</v>
      </c>
      <c r="I14" t="s">
        <v>36</v>
      </c>
      <c r="J14">
        <v>11</v>
      </c>
      <c r="K14" s="15">
        <v>2</v>
      </c>
      <c r="L14" s="15">
        <f t="shared" si="3"/>
        <v>22</v>
      </c>
      <c r="N14" s="118">
        <v>46015</v>
      </c>
      <c r="O14" s="73" t="s">
        <v>45</v>
      </c>
      <c r="P14" s="60">
        <v>13</v>
      </c>
      <c r="Q14" s="61">
        <v>1</v>
      </c>
      <c r="R14" s="49">
        <f t="shared" si="2"/>
        <v>13</v>
      </c>
      <c r="T14" s="117">
        <v>46015</v>
      </c>
      <c r="U14" s="53" t="s">
        <v>132</v>
      </c>
      <c r="V14">
        <v>94</v>
      </c>
      <c r="W14" s="15">
        <v>3.25</v>
      </c>
      <c r="X14" s="15">
        <f t="shared" si="5"/>
        <v>305.5</v>
      </c>
      <c r="AA14" s="125">
        <v>46015</v>
      </c>
      <c r="AB14" s="55" t="s">
        <v>147</v>
      </c>
      <c r="AC14" s="58">
        <v>146</v>
      </c>
      <c r="AD14" s="59">
        <v>0.45</v>
      </c>
      <c r="AE14" s="59">
        <f t="shared" si="0"/>
        <v>65.7</v>
      </c>
    </row>
    <row r="15" spans="1:34" ht="18.350000000000001" x14ac:dyDescent="0.3">
      <c r="A15" s="81" t="s">
        <v>7</v>
      </c>
      <c r="B15" s="40" t="s">
        <v>12</v>
      </c>
      <c r="C15" s="40">
        <v>296</v>
      </c>
      <c r="D15" s="40">
        <v>4</v>
      </c>
      <c r="E15" s="82">
        <v>15</v>
      </c>
      <c r="F15" s="89">
        <f t="shared" si="1"/>
        <v>20</v>
      </c>
      <c r="H15" s="117">
        <v>46015</v>
      </c>
      <c r="I15" t="s">
        <v>37</v>
      </c>
      <c r="J15">
        <v>4</v>
      </c>
      <c r="K15" s="15">
        <v>3</v>
      </c>
      <c r="L15" s="15">
        <f t="shared" si="3"/>
        <v>12</v>
      </c>
      <c r="N15" s="119" t="s">
        <v>7</v>
      </c>
      <c r="O15" s="73" t="s">
        <v>57</v>
      </c>
      <c r="P15" s="60">
        <v>4</v>
      </c>
      <c r="Q15" s="61">
        <v>16.5</v>
      </c>
      <c r="R15" s="49">
        <f t="shared" si="2"/>
        <v>66</v>
      </c>
      <c r="T15" s="117">
        <v>46015</v>
      </c>
      <c r="U15" s="53" t="s">
        <v>133</v>
      </c>
      <c r="V15">
        <v>15</v>
      </c>
      <c r="W15" s="15">
        <v>4.9240000000000004</v>
      </c>
      <c r="X15" s="15">
        <f t="shared" si="5"/>
        <v>73.86</v>
      </c>
      <c r="AA15" s="125">
        <v>46015</v>
      </c>
      <c r="AB15" s="55" t="s">
        <v>148</v>
      </c>
      <c r="AC15" s="58">
        <v>20</v>
      </c>
      <c r="AD15" s="59">
        <v>3.3</v>
      </c>
      <c r="AE15" s="59">
        <f t="shared" si="0"/>
        <v>66</v>
      </c>
    </row>
    <row r="16" spans="1:34" ht="18.350000000000001" x14ac:dyDescent="0.3">
      <c r="A16" s="4" t="s">
        <v>7</v>
      </c>
      <c r="B16" s="5" t="s">
        <v>12</v>
      </c>
      <c r="C16" s="5">
        <v>757</v>
      </c>
      <c r="D16" s="5">
        <v>4</v>
      </c>
      <c r="E16" s="23">
        <v>15</v>
      </c>
      <c r="F16" s="77"/>
      <c r="H16" s="117">
        <v>46015</v>
      </c>
      <c r="I16" t="s">
        <v>38</v>
      </c>
      <c r="J16">
        <v>4</v>
      </c>
      <c r="K16" s="15">
        <v>4.25</v>
      </c>
      <c r="L16" s="15">
        <f t="shared" si="3"/>
        <v>17</v>
      </c>
      <c r="N16" s="119" t="s">
        <v>7</v>
      </c>
      <c r="O16" s="73" t="s">
        <v>58</v>
      </c>
      <c r="P16" s="60">
        <v>8</v>
      </c>
      <c r="Q16" s="61">
        <v>12</v>
      </c>
      <c r="R16" s="49">
        <f t="shared" si="2"/>
        <v>96</v>
      </c>
      <c r="T16" s="117">
        <v>46015</v>
      </c>
      <c r="U16" s="53" t="s">
        <v>151</v>
      </c>
      <c r="V16">
        <v>19</v>
      </c>
      <c r="W16" s="15">
        <v>1.5</v>
      </c>
      <c r="X16" s="15">
        <f t="shared" si="5"/>
        <v>28.5</v>
      </c>
      <c r="AA16" s="125">
        <v>46015</v>
      </c>
      <c r="AB16" s="55" t="s">
        <v>149</v>
      </c>
      <c r="AC16" s="58">
        <v>10</v>
      </c>
      <c r="AD16" s="59">
        <v>2.2000000000000002</v>
      </c>
      <c r="AE16" s="59">
        <f t="shared" si="0"/>
        <v>22</v>
      </c>
    </row>
    <row r="17" spans="1:31" ht="18.350000000000001" x14ac:dyDescent="0.3">
      <c r="A17" s="6" t="s">
        <v>7</v>
      </c>
      <c r="B17" s="7" t="s">
        <v>12</v>
      </c>
      <c r="C17" s="7">
        <v>752</v>
      </c>
      <c r="D17" s="7">
        <v>1</v>
      </c>
      <c r="E17" s="22">
        <v>15</v>
      </c>
      <c r="F17" s="82">
        <f>D15*E15</f>
        <v>60</v>
      </c>
      <c r="H17" s="117">
        <v>46015</v>
      </c>
      <c r="I17" t="s">
        <v>50</v>
      </c>
      <c r="J17">
        <v>36</v>
      </c>
      <c r="K17" s="15">
        <v>1</v>
      </c>
      <c r="L17" s="15">
        <f t="shared" si="3"/>
        <v>36</v>
      </c>
      <c r="N17" s="119" t="s">
        <v>7</v>
      </c>
      <c r="O17" s="73" t="s">
        <v>59</v>
      </c>
      <c r="P17" s="60">
        <v>12</v>
      </c>
      <c r="Q17" s="61">
        <v>2.8</v>
      </c>
      <c r="R17" s="49">
        <f t="shared" si="2"/>
        <v>33.599999999999994</v>
      </c>
      <c r="T17" s="117">
        <v>46015</v>
      </c>
      <c r="U17" s="53" t="s">
        <v>152</v>
      </c>
      <c r="V17">
        <v>35.5</v>
      </c>
      <c r="W17" s="15">
        <v>1.5</v>
      </c>
      <c r="X17" s="15">
        <f t="shared" si="5"/>
        <v>53.25</v>
      </c>
      <c r="AA17" s="125">
        <v>46015</v>
      </c>
      <c r="AB17" s="55" t="s">
        <v>150</v>
      </c>
      <c r="AC17" s="58">
        <v>10</v>
      </c>
      <c r="AD17" s="59">
        <v>3.2</v>
      </c>
      <c r="AE17" s="59">
        <f t="shared" si="0"/>
        <v>32</v>
      </c>
    </row>
    <row r="18" spans="1:31" ht="18.350000000000001" x14ac:dyDescent="0.3">
      <c r="A18" s="4" t="s">
        <v>7</v>
      </c>
      <c r="B18" s="5" t="s">
        <v>12</v>
      </c>
      <c r="C18" s="5">
        <v>890</v>
      </c>
      <c r="D18" s="5">
        <v>1</v>
      </c>
      <c r="E18" s="23">
        <v>15</v>
      </c>
      <c r="F18" s="22">
        <f>D16*E16</f>
        <v>60</v>
      </c>
      <c r="H18" s="117">
        <v>46015</v>
      </c>
      <c r="I18" t="s">
        <v>51</v>
      </c>
      <c r="J18">
        <v>35</v>
      </c>
      <c r="K18" s="15">
        <v>1</v>
      </c>
      <c r="L18" s="15">
        <f t="shared" si="3"/>
        <v>35</v>
      </c>
      <c r="N18" s="119" t="s">
        <v>7</v>
      </c>
      <c r="O18" s="73" t="s">
        <v>60</v>
      </c>
      <c r="P18" s="60">
        <v>11</v>
      </c>
      <c r="Q18" s="61">
        <v>3.55</v>
      </c>
      <c r="R18" s="49">
        <f t="shared" si="2"/>
        <v>39.049999999999997</v>
      </c>
      <c r="T18" s="117">
        <v>46015</v>
      </c>
      <c r="U18" s="53" t="s">
        <v>153</v>
      </c>
      <c r="V18">
        <v>76</v>
      </c>
      <c r="W18" s="15">
        <v>1.5</v>
      </c>
      <c r="X18" s="15">
        <f t="shared" si="5"/>
        <v>114</v>
      </c>
      <c r="AA18" s="126"/>
      <c r="AD18" s="15"/>
      <c r="AE18" s="15"/>
    </row>
    <row r="19" spans="1:31" ht="18.350000000000001" x14ac:dyDescent="0.3">
      <c r="A19" s="47" t="s">
        <v>7</v>
      </c>
      <c r="B19" s="48" t="s">
        <v>12</v>
      </c>
      <c r="C19" s="48">
        <v>810</v>
      </c>
      <c r="D19" s="48">
        <v>1</v>
      </c>
      <c r="E19" s="74">
        <v>15</v>
      </c>
      <c r="F19" s="22">
        <f>D17*E17</f>
        <v>15</v>
      </c>
      <c r="H19" s="117">
        <v>46015</v>
      </c>
      <c r="I19" t="s">
        <v>39</v>
      </c>
      <c r="J19">
        <v>23</v>
      </c>
      <c r="K19" s="15">
        <v>0.2</v>
      </c>
      <c r="L19" s="15">
        <f t="shared" si="3"/>
        <v>4.6000000000000005</v>
      </c>
      <c r="N19" s="119" t="s">
        <v>7</v>
      </c>
      <c r="O19" s="73" t="s">
        <v>61</v>
      </c>
      <c r="P19" s="60">
        <v>16</v>
      </c>
      <c r="Q19" s="61">
        <v>1.5625</v>
      </c>
      <c r="R19" s="49">
        <f t="shared" si="2"/>
        <v>25</v>
      </c>
      <c r="T19" s="117">
        <v>46015</v>
      </c>
      <c r="U19" s="53" t="s">
        <v>154</v>
      </c>
      <c r="V19">
        <v>2.5</v>
      </c>
      <c r="W19" s="15">
        <v>1.5</v>
      </c>
      <c r="X19" s="15">
        <f t="shared" si="5"/>
        <v>3.75</v>
      </c>
      <c r="AA19" s="126"/>
      <c r="AD19" s="15"/>
      <c r="AE19" s="15"/>
    </row>
    <row r="20" spans="1:31" ht="18.350000000000001" x14ac:dyDescent="0.3">
      <c r="A20" s="170" t="s">
        <v>13</v>
      </c>
      <c r="B20" s="171"/>
      <c r="C20" s="171"/>
      <c r="D20" s="171"/>
      <c r="E20" s="172"/>
      <c r="F20" s="22">
        <f>D18*E18</f>
        <v>15</v>
      </c>
      <c r="H20" s="117">
        <v>46015</v>
      </c>
      <c r="I20" t="s">
        <v>40</v>
      </c>
      <c r="J20">
        <v>24</v>
      </c>
      <c r="K20" s="15">
        <v>2.33</v>
      </c>
      <c r="L20" s="15">
        <f t="shared" si="3"/>
        <v>55.92</v>
      </c>
      <c r="N20" s="119" t="s">
        <v>7</v>
      </c>
      <c r="O20" s="73" t="s">
        <v>67</v>
      </c>
      <c r="P20" s="60">
        <v>5</v>
      </c>
      <c r="Q20" s="61">
        <v>4.5</v>
      </c>
      <c r="R20" s="49">
        <f t="shared" si="2"/>
        <v>22.5</v>
      </c>
      <c r="T20" s="117">
        <v>46015</v>
      </c>
      <c r="U20" s="53" t="s">
        <v>155</v>
      </c>
      <c r="V20">
        <v>10</v>
      </c>
      <c r="W20" s="15">
        <v>0.85</v>
      </c>
      <c r="X20" s="15">
        <f t="shared" si="5"/>
        <v>8.5</v>
      </c>
      <c r="AA20" s="126"/>
      <c r="AD20" s="15"/>
      <c r="AE20" s="15"/>
    </row>
    <row r="21" spans="1:31" ht="18.350000000000001" x14ac:dyDescent="0.3">
      <c r="A21" s="86" t="s">
        <v>7</v>
      </c>
      <c r="B21" s="87" t="s">
        <v>14</v>
      </c>
      <c r="C21" s="87">
        <v>800</v>
      </c>
      <c r="D21" s="87">
        <v>3</v>
      </c>
      <c r="E21" s="88">
        <v>15</v>
      </c>
      <c r="F21" s="74">
        <f>D19*E19</f>
        <v>15</v>
      </c>
      <c r="H21" s="117">
        <v>46015</v>
      </c>
      <c r="I21" t="s">
        <v>46</v>
      </c>
      <c r="J21">
        <v>1</v>
      </c>
      <c r="K21" s="15">
        <v>2.2999999999999998</v>
      </c>
      <c r="L21" s="15">
        <f t="shared" si="3"/>
        <v>2.2999999999999998</v>
      </c>
      <c r="N21" s="119" t="s">
        <v>7</v>
      </c>
      <c r="O21" s="73" t="s">
        <v>68</v>
      </c>
      <c r="P21" s="60">
        <v>5</v>
      </c>
      <c r="Q21" s="61">
        <v>4.5</v>
      </c>
      <c r="R21" s="49">
        <f t="shared" si="2"/>
        <v>22.5</v>
      </c>
      <c r="T21" s="117">
        <v>46015</v>
      </c>
      <c r="U21" s="53" t="s">
        <v>156</v>
      </c>
      <c r="V21">
        <v>8</v>
      </c>
      <c r="W21" s="15">
        <v>0.85699999999999998</v>
      </c>
      <c r="X21" s="15">
        <f t="shared" si="5"/>
        <v>6.8559999999999999</v>
      </c>
      <c r="Z21" s="156" t="s">
        <v>165</v>
      </c>
      <c r="AA21" s="157"/>
      <c r="AB21" s="157"/>
      <c r="AC21" s="157"/>
      <c r="AD21" s="157"/>
      <c r="AE21" s="158"/>
    </row>
    <row r="22" spans="1:31" ht="18.350000000000001" x14ac:dyDescent="0.3">
      <c r="A22" s="47" t="s">
        <v>7</v>
      </c>
      <c r="B22" s="48" t="s">
        <v>14</v>
      </c>
      <c r="C22" s="48">
        <v>296</v>
      </c>
      <c r="D22" s="48">
        <v>3</v>
      </c>
      <c r="E22" s="74">
        <v>15</v>
      </c>
      <c r="F22" s="139"/>
      <c r="H22" s="117">
        <v>46015</v>
      </c>
      <c r="I22" t="s">
        <v>41</v>
      </c>
      <c r="J22">
        <v>6</v>
      </c>
      <c r="K22" s="15">
        <v>1.75</v>
      </c>
      <c r="L22" s="15">
        <f t="shared" si="3"/>
        <v>10.5</v>
      </c>
      <c r="N22" s="119" t="s">
        <v>7</v>
      </c>
      <c r="O22" s="73" t="s">
        <v>69</v>
      </c>
      <c r="P22" s="60">
        <v>10</v>
      </c>
      <c r="Q22" s="61">
        <v>3.5</v>
      </c>
      <c r="R22" s="49">
        <f t="shared" si="2"/>
        <v>35</v>
      </c>
      <c r="T22" s="117">
        <v>46015</v>
      </c>
      <c r="U22" s="53" t="s">
        <v>157</v>
      </c>
      <c r="V22">
        <v>6</v>
      </c>
      <c r="W22" s="15">
        <v>0.85</v>
      </c>
      <c r="X22" s="15">
        <f t="shared" si="5"/>
        <v>5.0999999999999996</v>
      </c>
      <c r="AA22" s="127">
        <v>46015</v>
      </c>
      <c r="AB22" t="s">
        <v>164</v>
      </c>
      <c r="AC22">
        <v>1</v>
      </c>
      <c r="AD22" s="15">
        <v>1.6</v>
      </c>
      <c r="AE22" s="15">
        <f>AC22*AD22</f>
        <v>1.6</v>
      </c>
    </row>
    <row r="23" spans="1:31" ht="18.350000000000001" x14ac:dyDescent="0.3">
      <c r="A23" s="173" t="s">
        <v>15</v>
      </c>
      <c r="B23" s="174"/>
      <c r="C23" s="174"/>
      <c r="D23" s="174"/>
      <c r="E23" s="175"/>
      <c r="F23" s="88">
        <f>D21*E21</f>
        <v>45</v>
      </c>
      <c r="H23" s="117">
        <v>46015</v>
      </c>
      <c r="I23" t="s">
        <v>42</v>
      </c>
      <c r="J23">
        <v>22</v>
      </c>
      <c r="K23" s="15">
        <v>0.7</v>
      </c>
      <c r="L23" s="15">
        <f t="shared" si="3"/>
        <v>15.399999999999999</v>
      </c>
      <c r="N23" s="119" t="s">
        <v>7</v>
      </c>
      <c r="O23" s="73" t="s">
        <v>70</v>
      </c>
      <c r="P23" s="60">
        <v>5</v>
      </c>
      <c r="Q23" s="61">
        <v>3.5</v>
      </c>
      <c r="R23" s="49">
        <f t="shared" si="2"/>
        <v>17.5</v>
      </c>
      <c r="T23" s="117">
        <v>46015</v>
      </c>
      <c r="U23" s="53" t="s">
        <v>158</v>
      </c>
      <c r="V23">
        <v>6</v>
      </c>
      <c r="W23" s="15">
        <v>0.85</v>
      </c>
      <c r="X23" s="15">
        <f t="shared" si="5"/>
        <v>5.0999999999999996</v>
      </c>
      <c r="AA23" s="159" t="s">
        <v>166</v>
      </c>
      <c r="AB23" s="160"/>
      <c r="AC23" s="160"/>
      <c r="AD23" s="160"/>
      <c r="AE23" s="161"/>
    </row>
    <row r="24" spans="1:31" ht="18.350000000000001" x14ac:dyDescent="0.3">
      <c r="A24" s="83" t="s">
        <v>7</v>
      </c>
      <c r="B24" s="84" t="s">
        <v>16</v>
      </c>
      <c r="C24" s="84">
        <v>800</v>
      </c>
      <c r="D24" s="84">
        <v>1</v>
      </c>
      <c r="E24" s="85">
        <v>6.25</v>
      </c>
      <c r="F24" s="80">
        <f>D22*E22</f>
        <v>45</v>
      </c>
      <c r="H24" s="117">
        <v>46015</v>
      </c>
      <c r="I24" t="s">
        <v>43</v>
      </c>
      <c r="J24">
        <v>7</v>
      </c>
      <c r="K24" s="15">
        <v>0.75</v>
      </c>
      <c r="L24" s="15">
        <f t="shared" si="3"/>
        <v>5.25</v>
      </c>
      <c r="N24" s="119" t="s">
        <v>7</v>
      </c>
      <c r="O24" s="73" t="s">
        <v>71</v>
      </c>
      <c r="P24" s="60">
        <v>5</v>
      </c>
      <c r="Q24" s="61">
        <v>4.5</v>
      </c>
      <c r="R24" s="49">
        <f t="shared" si="2"/>
        <v>22.5</v>
      </c>
      <c r="T24" s="117">
        <v>46015</v>
      </c>
      <c r="U24" s="53" t="s">
        <v>159</v>
      </c>
      <c r="V24">
        <v>9.5</v>
      </c>
      <c r="W24" s="15">
        <v>0.85</v>
      </c>
      <c r="X24" s="15">
        <f t="shared" si="5"/>
        <v>8.0749999999999993</v>
      </c>
      <c r="AA24" s="127">
        <v>46015</v>
      </c>
      <c r="AB24" t="s">
        <v>167</v>
      </c>
      <c r="AC24">
        <v>5</v>
      </c>
      <c r="AD24" s="15">
        <v>2.2999999999999998</v>
      </c>
      <c r="AE24" s="15">
        <f>AC24*AD24</f>
        <v>11.5</v>
      </c>
    </row>
    <row r="25" spans="1:31" ht="18.350000000000001" x14ac:dyDescent="0.3">
      <c r="A25" s="173" t="s">
        <v>17</v>
      </c>
      <c r="B25" s="174"/>
      <c r="C25" s="174"/>
      <c r="D25" s="174"/>
      <c r="E25" s="175"/>
      <c r="F25" s="139"/>
      <c r="H25" s="117">
        <v>46015</v>
      </c>
      <c r="I25" t="s">
        <v>52</v>
      </c>
      <c r="J25">
        <v>1</v>
      </c>
      <c r="K25" s="15"/>
      <c r="L25" s="15">
        <f t="shared" si="3"/>
        <v>0</v>
      </c>
      <c r="N25" s="119" t="s">
        <v>7</v>
      </c>
      <c r="O25" s="73" t="s">
        <v>72</v>
      </c>
      <c r="P25" s="60">
        <v>5</v>
      </c>
      <c r="Q25" s="61">
        <v>4.5</v>
      </c>
      <c r="R25" s="49">
        <f t="shared" si="2"/>
        <v>22.5</v>
      </c>
      <c r="T25" s="117">
        <v>46015</v>
      </c>
      <c r="U25" s="53" t="s">
        <v>160</v>
      </c>
      <c r="V25">
        <v>50</v>
      </c>
      <c r="W25" s="15">
        <v>6.8</v>
      </c>
      <c r="X25" s="15">
        <f t="shared" si="5"/>
        <v>340</v>
      </c>
      <c r="AA25" s="38"/>
      <c r="AD25" s="15"/>
      <c r="AE25" s="15"/>
    </row>
    <row r="26" spans="1:31" ht="18.350000000000001" x14ac:dyDescent="0.3">
      <c r="A26" s="81" t="s">
        <v>7</v>
      </c>
      <c r="B26" s="40" t="s">
        <v>18</v>
      </c>
      <c r="C26" s="40">
        <v>806</v>
      </c>
      <c r="D26" s="40">
        <v>4</v>
      </c>
      <c r="E26" s="82">
        <v>6.25</v>
      </c>
      <c r="F26" s="85">
        <f>D24*E24</f>
        <v>6.25</v>
      </c>
      <c r="H26" s="116" t="s">
        <v>7</v>
      </c>
      <c r="I26" t="s">
        <v>83</v>
      </c>
      <c r="J26">
        <v>13</v>
      </c>
      <c r="K26" s="15">
        <v>1.5</v>
      </c>
      <c r="L26" s="15">
        <f t="shared" si="3"/>
        <v>19.5</v>
      </c>
      <c r="N26" s="119" t="s">
        <v>7</v>
      </c>
      <c r="O26" s="73" t="s">
        <v>104</v>
      </c>
      <c r="P26" s="60">
        <v>11</v>
      </c>
      <c r="Q26" s="61">
        <v>3.2</v>
      </c>
      <c r="R26" s="49">
        <f t="shared" si="2"/>
        <v>35.200000000000003</v>
      </c>
      <c r="T26" s="117">
        <v>46015</v>
      </c>
      <c r="U26" s="53" t="s">
        <v>161</v>
      </c>
      <c r="V26">
        <v>5</v>
      </c>
      <c r="W26" s="15">
        <v>9.5</v>
      </c>
      <c r="X26" s="15">
        <f t="shared" si="5"/>
        <v>47.5</v>
      </c>
      <c r="AA26" s="153" t="s">
        <v>168</v>
      </c>
      <c r="AB26" s="154"/>
      <c r="AC26" s="154"/>
      <c r="AD26" s="154"/>
      <c r="AE26" s="155"/>
    </row>
    <row r="27" spans="1:31" ht="18.350000000000001" x14ac:dyDescent="0.3">
      <c r="A27" s="78" t="s">
        <v>7</v>
      </c>
      <c r="B27" s="79" t="s">
        <v>18</v>
      </c>
      <c r="C27" s="79">
        <v>802</v>
      </c>
      <c r="D27" s="79">
        <v>4</v>
      </c>
      <c r="E27" s="80">
        <v>6.25</v>
      </c>
      <c r="F27" s="77"/>
      <c r="H27" s="116" t="s">
        <v>7</v>
      </c>
      <c r="I27" t="s">
        <v>84</v>
      </c>
      <c r="J27">
        <v>5</v>
      </c>
      <c r="K27" s="15">
        <v>4</v>
      </c>
      <c r="L27" s="15">
        <f t="shared" si="3"/>
        <v>20</v>
      </c>
      <c r="N27" s="119" t="s">
        <v>7</v>
      </c>
      <c r="O27" s="73" t="s">
        <v>107</v>
      </c>
      <c r="P27" s="60">
        <v>2</v>
      </c>
      <c r="Q27" s="61">
        <v>16</v>
      </c>
      <c r="R27" s="49">
        <f t="shared" si="2"/>
        <v>32</v>
      </c>
      <c r="T27" s="117">
        <v>46015</v>
      </c>
      <c r="U27" s="53" t="s">
        <v>162</v>
      </c>
      <c r="V27">
        <v>26</v>
      </c>
      <c r="W27" s="15">
        <v>3.2</v>
      </c>
      <c r="X27" s="15">
        <f t="shared" si="5"/>
        <v>83.2</v>
      </c>
      <c r="AA27" s="127">
        <v>46015</v>
      </c>
      <c r="AB27" t="s">
        <v>169</v>
      </c>
      <c r="AC27">
        <v>13</v>
      </c>
      <c r="AD27" s="15">
        <v>1.3</v>
      </c>
      <c r="AE27" s="15">
        <f>AC27*AD27</f>
        <v>16.900000000000002</v>
      </c>
    </row>
    <row r="28" spans="1:31" ht="18.350000000000001" x14ac:dyDescent="0.3">
      <c r="A28" s="173" t="s">
        <v>19</v>
      </c>
      <c r="B28" s="174"/>
      <c r="C28" s="174"/>
      <c r="D28" s="174"/>
      <c r="E28" s="175"/>
      <c r="F28" s="82">
        <f>D26*E26</f>
        <v>25</v>
      </c>
      <c r="H28" s="116" t="s">
        <v>7</v>
      </c>
      <c r="I28" t="s">
        <v>85</v>
      </c>
      <c r="J28">
        <v>24</v>
      </c>
      <c r="K28" s="15">
        <v>0.6</v>
      </c>
      <c r="L28" s="15">
        <f t="shared" si="3"/>
        <v>14.399999999999999</v>
      </c>
      <c r="N28" s="119" t="s">
        <v>7</v>
      </c>
      <c r="O28" s="73" t="s">
        <v>108</v>
      </c>
      <c r="P28" s="60">
        <v>15</v>
      </c>
      <c r="Q28" s="61">
        <v>1.3</v>
      </c>
      <c r="R28" s="49">
        <f t="shared" si="2"/>
        <v>19.5</v>
      </c>
      <c r="T28" s="117">
        <v>46015</v>
      </c>
      <c r="U28" s="53" t="s">
        <v>163</v>
      </c>
      <c r="V28">
        <v>9</v>
      </c>
      <c r="W28" s="15">
        <v>8.6</v>
      </c>
      <c r="X28" s="15">
        <f t="shared" si="5"/>
        <v>77.399999999999991</v>
      </c>
      <c r="AA28" s="127">
        <v>46015</v>
      </c>
      <c r="AB28" t="s">
        <v>170</v>
      </c>
      <c r="AC28">
        <v>10</v>
      </c>
      <c r="AD28" s="15">
        <v>1.4</v>
      </c>
      <c r="AE28" s="15">
        <f>AC28*AD28</f>
        <v>14</v>
      </c>
    </row>
    <row r="29" spans="1:31" ht="18.350000000000001" x14ac:dyDescent="0.3">
      <c r="A29" s="24" t="s">
        <v>7</v>
      </c>
      <c r="B29" s="24" t="s">
        <v>20</v>
      </c>
      <c r="C29" s="24">
        <v>800</v>
      </c>
      <c r="D29" s="24">
        <v>5</v>
      </c>
      <c r="E29" s="29">
        <v>5.3</v>
      </c>
      <c r="F29" s="74">
        <f>D27*E27</f>
        <v>25</v>
      </c>
      <c r="H29" s="116" t="s">
        <v>7</v>
      </c>
      <c r="I29" t="s">
        <v>63</v>
      </c>
      <c r="J29">
        <v>34</v>
      </c>
      <c r="K29" s="15">
        <v>1.2</v>
      </c>
      <c r="L29" s="15">
        <f t="shared" si="3"/>
        <v>40.799999999999997</v>
      </c>
      <c r="N29" s="119" t="s">
        <v>7</v>
      </c>
      <c r="O29" s="73" t="s">
        <v>109</v>
      </c>
      <c r="P29" s="60">
        <v>4</v>
      </c>
      <c r="Q29" s="61">
        <v>2</v>
      </c>
      <c r="R29" s="49">
        <f t="shared" si="2"/>
        <v>8</v>
      </c>
      <c r="T29" s="117">
        <v>46015</v>
      </c>
      <c r="U29" s="53" t="s">
        <v>225</v>
      </c>
      <c r="V29">
        <v>47</v>
      </c>
      <c r="W29" s="15">
        <v>3</v>
      </c>
      <c r="X29" s="15">
        <f t="shared" si="5"/>
        <v>141</v>
      </c>
      <c r="AA29" s="127">
        <v>46015</v>
      </c>
      <c r="AB29" t="s">
        <v>171</v>
      </c>
      <c r="AC29">
        <v>10</v>
      </c>
      <c r="AD29" s="15">
        <v>1.4</v>
      </c>
      <c r="AE29" s="15">
        <f>AC29*AD29</f>
        <v>14</v>
      </c>
    </row>
    <row r="30" spans="1:31" ht="18.350000000000001" x14ac:dyDescent="0.3">
      <c r="A30" s="25" t="s">
        <v>7</v>
      </c>
      <c r="B30" s="25" t="s">
        <v>20</v>
      </c>
      <c r="C30" s="25">
        <v>806</v>
      </c>
      <c r="D30" s="25">
        <v>7</v>
      </c>
      <c r="E30" s="30">
        <v>5.3</v>
      </c>
      <c r="F30" s="77"/>
      <c r="H30" s="116" t="s">
        <v>7</v>
      </c>
      <c r="I30" t="s">
        <v>64</v>
      </c>
      <c r="J30">
        <v>40</v>
      </c>
      <c r="K30" s="15">
        <v>0.375</v>
      </c>
      <c r="L30" s="15">
        <f t="shared" si="3"/>
        <v>15</v>
      </c>
      <c r="N30" s="119" t="s">
        <v>7</v>
      </c>
      <c r="O30" s="73" t="s">
        <v>110</v>
      </c>
      <c r="P30" s="60">
        <v>1</v>
      </c>
      <c r="Q30" s="61">
        <v>1.2</v>
      </c>
      <c r="R30" s="49">
        <f t="shared" si="2"/>
        <v>1.2</v>
      </c>
      <c r="T30" s="124">
        <v>46018</v>
      </c>
      <c r="U30" s="93" t="s">
        <v>239</v>
      </c>
      <c r="V30" s="93">
        <v>7</v>
      </c>
      <c r="W30" s="94">
        <v>8</v>
      </c>
      <c r="X30" s="94">
        <f t="shared" si="5"/>
        <v>56</v>
      </c>
      <c r="AA30" s="38"/>
      <c r="AD30" s="15"/>
      <c r="AE30" s="15"/>
    </row>
    <row r="31" spans="1:31" ht="21.2" customHeight="1" x14ac:dyDescent="0.3">
      <c r="A31" s="24" t="s">
        <v>7</v>
      </c>
      <c r="B31" s="24" t="s">
        <v>20</v>
      </c>
      <c r="C31" s="24">
        <v>802</v>
      </c>
      <c r="D31" s="24">
        <v>7</v>
      </c>
      <c r="E31" s="29">
        <v>5.3</v>
      </c>
      <c r="F31" s="29">
        <f>D29*E29</f>
        <v>26.5</v>
      </c>
      <c r="H31" s="116" t="s">
        <v>7</v>
      </c>
      <c r="I31" t="s">
        <v>65</v>
      </c>
      <c r="J31">
        <v>5</v>
      </c>
      <c r="K31" s="15">
        <v>0.33</v>
      </c>
      <c r="L31" s="15">
        <f t="shared" si="3"/>
        <v>1.6500000000000001</v>
      </c>
      <c r="N31" s="119" t="s">
        <v>7</v>
      </c>
      <c r="O31" s="73" t="s">
        <v>111</v>
      </c>
      <c r="P31" s="60">
        <v>5</v>
      </c>
      <c r="Q31" s="61">
        <v>2.5</v>
      </c>
      <c r="R31" s="49">
        <f t="shared" si="2"/>
        <v>12.5</v>
      </c>
      <c r="T31" s="124">
        <v>46018</v>
      </c>
      <c r="U31" s="93" t="s">
        <v>240</v>
      </c>
      <c r="V31" s="93">
        <v>2</v>
      </c>
      <c r="W31" s="94">
        <v>12</v>
      </c>
      <c r="X31" s="94">
        <f t="shared" si="5"/>
        <v>24</v>
      </c>
      <c r="AA31" s="147" t="s">
        <v>172</v>
      </c>
      <c r="AB31" s="148"/>
      <c r="AC31" s="148"/>
      <c r="AD31" s="148"/>
      <c r="AE31" s="149"/>
    </row>
    <row r="32" spans="1:31" ht="21.2" customHeight="1" x14ac:dyDescent="0.3">
      <c r="A32" s="173" t="s">
        <v>21</v>
      </c>
      <c r="B32" s="174"/>
      <c r="C32" s="174"/>
      <c r="D32" s="174"/>
      <c r="E32" s="175"/>
      <c r="F32" s="29">
        <f>D30*E30</f>
        <v>37.1</v>
      </c>
      <c r="H32" s="116" t="s">
        <v>7</v>
      </c>
      <c r="I32" t="s">
        <v>66</v>
      </c>
      <c r="J32">
        <v>24</v>
      </c>
      <c r="K32" s="15">
        <v>0.25</v>
      </c>
      <c r="L32" s="15">
        <f t="shared" si="3"/>
        <v>6</v>
      </c>
      <c r="N32" s="119" t="s">
        <v>7</v>
      </c>
      <c r="O32" s="73" t="s">
        <v>112</v>
      </c>
      <c r="P32" s="60">
        <v>3</v>
      </c>
      <c r="Q32" s="61">
        <v>4</v>
      </c>
      <c r="R32" s="49">
        <f t="shared" si="2"/>
        <v>12</v>
      </c>
      <c r="T32" s="117">
        <v>46018</v>
      </c>
      <c r="U32" s="102" t="s">
        <v>241</v>
      </c>
      <c r="V32">
        <v>2</v>
      </c>
      <c r="W32" s="15">
        <v>12</v>
      </c>
      <c r="X32" s="15">
        <f t="shared" si="5"/>
        <v>24</v>
      </c>
      <c r="AA32" s="150"/>
      <c r="AB32" s="151"/>
      <c r="AC32" s="151"/>
      <c r="AD32" s="151"/>
      <c r="AE32" s="152"/>
    </row>
    <row r="33" spans="1:33" ht="18.350000000000001" x14ac:dyDescent="0.3">
      <c r="A33" s="26" t="s">
        <v>7</v>
      </c>
      <c r="B33" s="26" t="s">
        <v>22</v>
      </c>
      <c r="C33" s="26">
        <v>757</v>
      </c>
      <c r="D33" s="26">
        <v>16</v>
      </c>
      <c r="E33" s="31">
        <v>4.5999999999999996</v>
      </c>
      <c r="F33" s="29">
        <f>D31*E31</f>
        <v>37.1</v>
      </c>
      <c r="H33" s="116" t="s">
        <v>7</v>
      </c>
      <c r="I33" t="s">
        <v>86</v>
      </c>
      <c r="J33" s="15">
        <v>2</v>
      </c>
      <c r="K33" s="15">
        <v>12</v>
      </c>
      <c r="L33" s="15">
        <f t="shared" si="3"/>
        <v>24</v>
      </c>
      <c r="N33" s="119" t="s">
        <v>7</v>
      </c>
      <c r="O33" s="73" t="s">
        <v>117</v>
      </c>
      <c r="P33" s="60">
        <v>2</v>
      </c>
      <c r="Q33" s="61">
        <v>2.8</v>
      </c>
      <c r="R33" s="49">
        <f t="shared" si="2"/>
        <v>5.6</v>
      </c>
      <c r="T33" s="116"/>
      <c r="W33" s="15"/>
      <c r="X33" s="15"/>
      <c r="AA33" s="127">
        <v>46015</v>
      </c>
      <c r="AB33" t="s">
        <v>173</v>
      </c>
      <c r="AC33">
        <v>10</v>
      </c>
      <c r="AD33" s="15">
        <v>1.2</v>
      </c>
      <c r="AE33" s="15">
        <f>AC33*AD33</f>
        <v>12</v>
      </c>
    </row>
    <row r="34" spans="1:33" ht="18.350000000000001" x14ac:dyDescent="0.3">
      <c r="A34" s="27" t="s">
        <v>7</v>
      </c>
      <c r="B34" s="27" t="s">
        <v>22</v>
      </c>
      <c r="C34" s="27">
        <v>800</v>
      </c>
      <c r="D34" s="27">
        <v>14</v>
      </c>
      <c r="E34" s="32">
        <v>4.5999999999999996</v>
      </c>
      <c r="F34" s="77"/>
      <c r="H34" s="116" t="s">
        <v>7</v>
      </c>
      <c r="I34" t="s">
        <v>87</v>
      </c>
      <c r="J34">
        <v>10</v>
      </c>
      <c r="K34" s="15">
        <v>10</v>
      </c>
      <c r="L34" s="15">
        <f t="shared" si="3"/>
        <v>100</v>
      </c>
      <c r="N34" s="119" t="s">
        <v>7</v>
      </c>
      <c r="O34" s="73" t="s">
        <v>118</v>
      </c>
      <c r="P34" s="60">
        <v>4</v>
      </c>
      <c r="Q34" s="61">
        <v>3.5</v>
      </c>
      <c r="R34" s="49">
        <f t="shared" si="2"/>
        <v>14</v>
      </c>
      <c r="T34" s="116"/>
      <c r="U34" s="137"/>
      <c r="V34" s="137"/>
      <c r="W34" s="138"/>
      <c r="X34" s="138">
        <f>SUM(X4:X33)</f>
        <v>4953.8130000000001</v>
      </c>
      <c r="AA34" s="127">
        <v>46015</v>
      </c>
      <c r="AB34" t="s">
        <v>174</v>
      </c>
      <c r="AC34">
        <v>10</v>
      </c>
      <c r="AD34" s="15">
        <v>1.2</v>
      </c>
      <c r="AE34" s="15">
        <f t="shared" ref="AE34:AE35" si="6">AC34*AD34</f>
        <v>12</v>
      </c>
    </row>
    <row r="35" spans="1:33" ht="18.350000000000001" x14ac:dyDescent="0.3">
      <c r="A35" s="26" t="s">
        <v>7</v>
      </c>
      <c r="B35" s="26" t="s">
        <v>22</v>
      </c>
      <c r="C35" s="26">
        <v>752</v>
      </c>
      <c r="D35" s="26">
        <v>14</v>
      </c>
      <c r="E35" s="31">
        <v>4.5999999999999996</v>
      </c>
      <c r="F35" s="31">
        <f t="shared" ref="F35:F44" si="7">D33*E33</f>
        <v>73.599999999999994</v>
      </c>
      <c r="H35" s="116" t="s">
        <v>7</v>
      </c>
      <c r="I35" t="s">
        <v>88</v>
      </c>
      <c r="J35">
        <v>1</v>
      </c>
      <c r="K35" s="15">
        <v>7</v>
      </c>
      <c r="L35" s="15">
        <f t="shared" si="3"/>
        <v>7</v>
      </c>
      <c r="N35" s="119" t="s">
        <v>7</v>
      </c>
      <c r="O35" s="73" t="s">
        <v>226</v>
      </c>
      <c r="P35" s="60">
        <v>8</v>
      </c>
      <c r="Q35" s="61">
        <v>3.5</v>
      </c>
      <c r="R35" s="49">
        <f t="shared" si="2"/>
        <v>28</v>
      </c>
      <c r="T35" s="116"/>
      <c r="U35" s="137"/>
      <c r="V35" s="137"/>
      <c r="W35" s="138"/>
      <c r="X35" s="138"/>
      <c r="AA35" s="127">
        <v>46015</v>
      </c>
      <c r="AB35" t="s">
        <v>175</v>
      </c>
      <c r="AC35">
        <v>10</v>
      </c>
      <c r="AD35" s="15">
        <v>1.2</v>
      </c>
      <c r="AE35" s="15">
        <f t="shared" si="6"/>
        <v>12</v>
      </c>
    </row>
    <row r="36" spans="1:33" ht="18.350000000000001" x14ac:dyDescent="0.3">
      <c r="A36" s="27" t="s">
        <v>7</v>
      </c>
      <c r="B36" s="27" t="s">
        <v>22</v>
      </c>
      <c r="C36" s="27">
        <v>348</v>
      </c>
      <c r="D36" s="27">
        <v>6</v>
      </c>
      <c r="E36" s="32">
        <v>4.5999999999999996</v>
      </c>
      <c r="F36" s="31">
        <f t="shared" si="7"/>
        <v>64.399999999999991</v>
      </c>
      <c r="H36" s="116" t="s">
        <v>7</v>
      </c>
      <c r="I36" t="s">
        <v>89</v>
      </c>
      <c r="J36">
        <v>1</v>
      </c>
      <c r="K36" s="15">
        <v>7</v>
      </c>
      <c r="L36" s="15">
        <f t="shared" si="3"/>
        <v>7</v>
      </c>
      <c r="N36" s="119" t="s">
        <v>7</v>
      </c>
      <c r="O36" s="73" t="s">
        <v>119</v>
      </c>
      <c r="P36" s="60">
        <v>22</v>
      </c>
      <c r="Q36" s="61">
        <v>1.3</v>
      </c>
      <c r="R36" s="49">
        <f t="shared" si="2"/>
        <v>28.6</v>
      </c>
      <c r="T36" s="116"/>
      <c r="W36" s="15"/>
      <c r="X36" s="15"/>
      <c r="AA36" s="126"/>
      <c r="AD36" s="15"/>
      <c r="AE36" s="15"/>
    </row>
    <row r="37" spans="1:33" ht="18.350000000000001" x14ac:dyDescent="0.3">
      <c r="A37" s="26" t="s">
        <v>7</v>
      </c>
      <c r="B37" s="26" t="s">
        <v>22</v>
      </c>
      <c r="C37" s="26">
        <v>890</v>
      </c>
      <c r="D37" s="26">
        <v>24</v>
      </c>
      <c r="E37" s="31">
        <v>4.5999999999999996</v>
      </c>
      <c r="F37" s="31">
        <f t="shared" si="7"/>
        <v>64.399999999999991</v>
      </c>
      <c r="H37" s="116" t="s">
        <v>7</v>
      </c>
      <c r="I37" t="s">
        <v>91</v>
      </c>
      <c r="J37">
        <v>11</v>
      </c>
      <c r="K37" s="15">
        <v>1.3</v>
      </c>
      <c r="L37" s="15">
        <f t="shared" si="3"/>
        <v>14.3</v>
      </c>
      <c r="N37" s="119" t="s">
        <v>7</v>
      </c>
      <c r="O37" s="73" t="s">
        <v>120</v>
      </c>
      <c r="P37" s="60">
        <v>1</v>
      </c>
      <c r="Q37" s="61">
        <v>1.5</v>
      </c>
      <c r="R37" s="49">
        <f t="shared" si="2"/>
        <v>1.5</v>
      </c>
      <c r="W37" s="15"/>
      <c r="X37" s="15"/>
      <c r="AD37" s="15"/>
      <c r="AE37" s="15"/>
    </row>
    <row r="38" spans="1:33" ht="21.2" customHeight="1" x14ac:dyDescent="0.3">
      <c r="A38" s="27" t="s">
        <v>7</v>
      </c>
      <c r="B38" s="27" t="s">
        <v>22</v>
      </c>
      <c r="C38" s="27">
        <v>810</v>
      </c>
      <c r="D38" s="27">
        <v>9</v>
      </c>
      <c r="E38" s="32">
        <v>4.5999999999999996</v>
      </c>
      <c r="F38" s="31">
        <f t="shared" si="7"/>
        <v>27.599999999999998</v>
      </c>
      <c r="H38" s="116" t="s">
        <v>7</v>
      </c>
      <c r="I38" t="s">
        <v>92</v>
      </c>
      <c r="J38">
        <v>5</v>
      </c>
      <c r="K38" s="15">
        <v>1</v>
      </c>
      <c r="L38" s="15">
        <f t="shared" si="3"/>
        <v>5</v>
      </c>
      <c r="N38" s="120" t="s">
        <v>7</v>
      </c>
      <c r="O38" s="2" t="s">
        <v>230</v>
      </c>
      <c r="P38" s="2">
        <v>1</v>
      </c>
      <c r="Q38" s="2">
        <v>24.8</v>
      </c>
      <c r="R38" s="46">
        <f t="shared" si="2"/>
        <v>24.8</v>
      </c>
      <c r="W38" s="15"/>
      <c r="X38" s="15"/>
      <c r="AA38" s="141" t="s">
        <v>176</v>
      </c>
      <c r="AB38" s="142"/>
      <c r="AC38" s="142"/>
      <c r="AD38" s="142"/>
      <c r="AE38" s="143"/>
    </row>
    <row r="39" spans="1:33" ht="21.2" customHeight="1" x14ac:dyDescent="0.3">
      <c r="A39" s="26" t="s">
        <v>7</v>
      </c>
      <c r="B39" s="26" t="s">
        <v>22</v>
      </c>
      <c r="C39" s="26">
        <v>555</v>
      </c>
      <c r="D39" s="26">
        <v>5</v>
      </c>
      <c r="E39" s="31">
        <v>4.5999999999999996</v>
      </c>
      <c r="F39" s="31">
        <f t="shared" si="7"/>
        <v>110.39999999999999</v>
      </c>
      <c r="H39" s="116" t="s">
        <v>7</v>
      </c>
      <c r="I39" t="s">
        <v>93</v>
      </c>
      <c r="J39">
        <v>82</v>
      </c>
      <c r="K39" s="15">
        <v>0.17</v>
      </c>
      <c r="L39" s="15">
        <f t="shared" si="3"/>
        <v>13.940000000000001</v>
      </c>
      <c r="N39" s="118">
        <v>46018</v>
      </c>
      <c r="O39" s="60" t="s">
        <v>238</v>
      </c>
      <c r="P39" s="60">
        <v>2</v>
      </c>
      <c r="Q39" s="61">
        <v>12</v>
      </c>
      <c r="R39" s="46">
        <f t="shared" si="2"/>
        <v>24</v>
      </c>
      <c r="W39" s="15"/>
      <c r="X39" s="15"/>
      <c r="AA39" s="144"/>
      <c r="AB39" s="145"/>
      <c r="AC39" s="145"/>
      <c r="AD39" s="145"/>
      <c r="AE39" s="146"/>
    </row>
    <row r="40" spans="1:33" ht="16.25" x14ac:dyDescent="0.3">
      <c r="A40" s="28" t="s">
        <v>7</v>
      </c>
      <c r="B40" s="28" t="s">
        <v>22</v>
      </c>
      <c r="C40" s="28" t="s">
        <v>23</v>
      </c>
      <c r="D40" s="28">
        <v>10</v>
      </c>
      <c r="E40" s="33">
        <v>4.5999999999999996</v>
      </c>
      <c r="F40" s="31">
        <f t="shared" si="7"/>
        <v>41.4</v>
      </c>
      <c r="H40" s="116" t="s">
        <v>7</v>
      </c>
      <c r="I40" t="s">
        <v>94</v>
      </c>
      <c r="J40">
        <v>6</v>
      </c>
      <c r="K40" s="15">
        <v>0.58299999999999996</v>
      </c>
      <c r="L40" s="15">
        <f t="shared" si="3"/>
        <v>3.4979999999999998</v>
      </c>
      <c r="N40" s="118">
        <v>46018</v>
      </c>
      <c r="O40" s="60" t="s">
        <v>243</v>
      </c>
      <c r="P40" s="60">
        <v>6</v>
      </c>
      <c r="Q40" s="61">
        <v>33</v>
      </c>
      <c r="R40" s="46">
        <f t="shared" si="2"/>
        <v>198</v>
      </c>
      <c r="W40" s="15"/>
      <c r="X40" s="15"/>
      <c r="AA40" s="127">
        <v>46015</v>
      </c>
      <c r="AB40" t="s">
        <v>177</v>
      </c>
      <c r="AC40">
        <v>10</v>
      </c>
      <c r="AD40" s="15">
        <v>1</v>
      </c>
      <c r="AE40" s="15">
        <f>AC40*AD40</f>
        <v>10</v>
      </c>
    </row>
    <row r="41" spans="1:33" ht="16.25" x14ac:dyDescent="0.3">
      <c r="A41" s="26" t="s">
        <v>7</v>
      </c>
      <c r="B41" s="26" t="s">
        <v>22</v>
      </c>
      <c r="C41" s="26">
        <v>815</v>
      </c>
      <c r="D41" s="26">
        <v>8</v>
      </c>
      <c r="E41" s="31">
        <v>4.5999999999999996</v>
      </c>
      <c r="F41" s="31">
        <f t="shared" si="7"/>
        <v>23</v>
      </c>
      <c r="H41" s="116" t="s">
        <v>7</v>
      </c>
      <c r="I41" t="s">
        <v>116</v>
      </c>
      <c r="J41">
        <v>7</v>
      </c>
      <c r="K41" s="15">
        <v>2</v>
      </c>
      <c r="L41" s="15">
        <f t="shared" si="3"/>
        <v>14</v>
      </c>
      <c r="N41" s="119"/>
      <c r="O41" s="60"/>
      <c r="P41" s="60"/>
      <c r="Q41" s="103"/>
      <c r="R41" s="49"/>
      <c r="W41" s="15"/>
      <c r="X41" s="15"/>
      <c r="AA41" s="127">
        <v>46015</v>
      </c>
      <c r="AB41" t="s">
        <v>178</v>
      </c>
      <c r="AC41">
        <v>10</v>
      </c>
      <c r="AD41" s="15">
        <v>1</v>
      </c>
      <c r="AE41" s="15">
        <f t="shared" ref="AE41:AE42" si="8">AC41*AD41</f>
        <v>10</v>
      </c>
    </row>
    <row r="42" spans="1:33" ht="16.25" x14ac:dyDescent="0.3">
      <c r="A42" s="27" t="s">
        <v>7</v>
      </c>
      <c r="B42" s="27" t="s">
        <v>22</v>
      </c>
      <c r="C42" s="27">
        <v>296</v>
      </c>
      <c r="D42" s="27">
        <v>11</v>
      </c>
      <c r="E42" s="32">
        <v>4.5999999999999996</v>
      </c>
      <c r="F42" s="31">
        <f t="shared" si="7"/>
        <v>46</v>
      </c>
      <c r="H42" s="116" t="s">
        <v>7</v>
      </c>
      <c r="I42" t="s">
        <v>95</v>
      </c>
      <c r="J42">
        <v>7</v>
      </c>
      <c r="K42" s="15">
        <v>2.5409999999999999</v>
      </c>
      <c r="L42" s="15">
        <f t="shared" si="3"/>
        <v>17.786999999999999</v>
      </c>
      <c r="N42" s="119"/>
      <c r="O42" s="60"/>
      <c r="P42" s="60"/>
      <c r="Q42" s="103"/>
      <c r="R42" s="49"/>
      <c r="W42" s="15"/>
      <c r="X42" s="15"/>
      <c r="AA42" s="127">
        <v>46015</v>
      </c>
      <c r="AB42" t="s">
        <v>179</v>
      </c>
      <c r="AC42">
        <v>10</v>
      </c>
      <c r="AD42" s="15">
        <v>1</v>
      </c>
      <c r="AE42" s="15">
        <f t="shared" si="8"/>
        <v>10</v>
      </c>
    </row>
    <row r="43" spans="1:33" ht="16.25" x14ac:dyDescent="0.3">
      <c r="A43" s="77" t="s">
        <v>24</v>
      </c>
      <c r="B43" s="77"/>
      <c r="C43" s="77"/>
      <c r="D43" s="77"/>
      <c r="E43" s="77"/>
      <c r="F43" s="31">
        <f t="shared" si="7"/>
        <v>36.799999999999997</v>
      </c>
      <c r="H43" s="116" t="s">
        <v>7</v>
      </c>
      <c r="I43" t="s">
        <v>96</v>
      </c>
      <c r="J43">
        <v>3</v>
      </c>
      <c r="K43" s="15">
        <v>16</v>
      </c>
      <c r="L43" s="15">
        <f t="shared" si="3"/>
        <v>48</v>
      </c>
      <c r="N43" s="119"/>
      <c r="O43" s="60"/>
      <c r="P43" s="60"/>
      <c r="Q43" s="103"/>
      <c r="R43" s="49"/>
      <c r="W43" s="15"/>
      <c r="X43" s="15"/>
      <c r="AA43" s="126"/>
      <c r="AD43" s="15"/>
      <c r="AE43" s="15"/>
    </row>
    <row r="44" spans="1:33" ht="16.25" x14ac:dyDescent="0.3">
      <c r="A44" s="34" t="s">
        <v>7</v>
      </c>
      <c r="B44" s="34" t="s">
        <v>25</v>
      </c>
      <c r="C44" s="34">
        <v>296</v>
      </c>
      <c r="D44" s="34">
        <v>18</v>
      </c>
      <c r="E44" s="35">
        <v>3.9</v>
      </c>
      <c r="F44" s="32">
        <f t="shared" si="7"/>
        <v>50.599999999999994</v>
      </c>
      <c r="H44" s="116" t="s">
        <v>7</v>
      </c>
      <c r="I44" t="s">
        <v>97</v>
      </c>
      <c r="J44">
        <v>13</v>
      </c>
      <c r="K44" s="15">
        <v>2.5</v>
      </c>
      <c r="L44" s="15">
        <f t="shared" si="3"/>
        <v>32.5</v>
      </c>
      <c r="N44" s="119"/>
      <c r="O44" s="60"/>
      <c r="P44" s="60"/>
      <c r="Q44" s="103"/>
      <c r="R44" s="49"/>
      <c r="W44" s="15"/>
      <c r="X44" s="15"/>
      <c r="AE44" s="15"/>
    </row>
    <row r="45" spans="1:33" ht="16.25" x14ac:dyDescent="0.3">
      <c r="A45" s="36" t="s">
        <v>7</v>
      </c>
      <c r="B45" s="36" t="s">
        <v>25</v>
      </c>
      <c r="C45" s="36">
        <v>815</v>
      </c>
      <c r="D45" s="36">
        <v>6</v>
      </c>
      <c r="E45" s="37">
        <v>3.9</v>
      </c>
      <c r="F45" s="77"/>
      <c r="H45" s="116" t="s">
        <v>7</v>
      </c>
      <c r="I45" t="s">
        <v>98</v>
      </c>
      <c r="J45">
        <v>2</v>
      </c>
      <c r="K45" s="15">
        <v>2.5</v>
      </c>
      <c r="L45" s="15">
        <f t="shared" si="3"/>
        <v>5</v>
      </c>
      <c r="N45" s="121"/>
      <c r="O45" s="99"/>
      <c r="P45" s="99"/>
      <c r="Q45" s="100"/>
      <c r="R45" s="104">
        <f>SUM(R4:R44)</f>
        <v>1219.1500000000001</v>
      </c>
      <c r="W45" s="15"/>
      <c r="X45" s="15"/>
      <c r="AA45" s="105" t="s">
        <v>180</v>
      </c>
      <c r="AB45" s="105"/>
      <c r="AC45" s="105"/>
      <c r="AD45" s="105"/>
      <c r="AE45" s="105"/>
      <c r="AF45" s="105"/>
      <c r="AG45" s="105"/>
    </row>
    <row r="46" spans="1:33" ht="16.25" x14ac:dyDescent="0.3">
      <c r="A46" s="34" t="s">
        <v>7</v>
      </c>
      <c r="B46" s="34" t="s">
        <v>25</v>
      </c>
      <c r="C46" s="34">
        <v>757</v>
      </c>
      <c r="D46" s="34">
        <v>8</v>
      </c>
      <c r="E46" s="35">
        <v>3.9</v>
      </c>
      <c r="F46" s="35">
        <f t="shared" ref="F46:F51" si="9">D44*E44</f>
        <v>70.2</v>
      </c>
      <c r="H46" s="116" t="s">
        <v>7</v>
      </c>
      <c r="I46" t="s">
        <v>99</v>
      </c>
      <c r="J46">
        <v>18</v>
      </c>
      <c r="K46" s="15">
        <v>2.6</v>
      </c>
      <c r="L46" s="15">
        <f t="shared" si="3"/>
        <v>46.800000000000004</v>
      </c>
      <c r="N46" s="121"/>
      <c r="O46" s="99"/>
      <c r="P46" s="99"/>
      <c r="Q46" s="100"/>
      <c r="R46" s="100"/>
      <c r="W46" s="15"/>
      <c r="X46" s="15"/>
      <c r="AA46" s="128">
        <v>46013</v>
      </c>
      <c r="AB46" s="95" t="s">
        <v>181</v>
      </c>
      <c r="AC46" s="95">
        <v>17</v>
      </c>
      <c r="AD46" s="96">
        <v>0.5</v>
      </c>
      <c r="AE46" s="96">
        <f>AC46*AD46</f>
        <v>8.5</v>
      </c>
    </row>
    <row r="47" spans="1:33" ht="16.25" x14ac:dyDescent="0.3">
      <c r="A47" s="36" t="s">
        <v>7</v>
      </c>
      <c r="B47" s="36" t="s">
        <v>25</v>
      </c>
      <c r="C47" s="36">
        <v>800</v>
      </c>
      <c r="D47" s="36">
        <v>14</v>
      </c>
      <c r="E47" s="37">
        <v>3.9</v>
      </c>
      <c r="F47" s="35">
        <f t="shared" si="9"/>
        <v>23.4</v>
      </c>
      <c r="H47" s="116" t="s">
        <v>7</v>
      </c>
      <c r="I47" t="s">
        <v>100</v>
      </c>
      <c r="J47">
        <v>14</v>
      </c>
      <c r="K47" s="15">
        <v>2.2999999999999998</v>
      </c>
      <c r="L47" s="15">
        <f t="shared" si="3"/>
        <v>32.199999999999996</v>
      </c>
      <c r="N47" s="116"/>
      <c r="Q47" s="15"/>
      <c r="R47" s="15"/>
      <c r="W47" s="15"/>
      <c r="X47" s="15"/>
      <c r="AD47" s="15"/>
      <c r="AE47" s="15"/>
    </row>
    <row r="48" spans="1:33" ht="21.2" customHeight="1" x14ac:dyDescent="0.3">
      <c r="A48" s="34" t="s">
        <v>7</v>
      </c>
      <c r="B48" s="34" t="s">
        <v>26</v>
      </c>
      <c r="C48" s="34">
        <v>890</v>
      </c>
      <c r="D48" s="34">
        <v>4</v>
      </c>
      <c r="E48" s="35">
        <v>3.9</v>
      </c>
      <c r="F48" s="35">
        <f t="shared" si="9"/>
        <v>31.2</v>
      </c>
      <c r="H48" s="116" t="s">
        <v>7</v>
      </c>
      <c r="I48" t="s">
        <v>101</v>
      </c>
      <c r="J48">
        <v>6</v>
      </c>
      <c r="K48" s="15">
        <v>1.2</v>
      </c>
      <c r="L48" s="15">
        <f t="shared" si="3"/>
        <v>7.1999999999999993</v>
      </c>
      <c r="Q48" s="15"/>
      <c r="R48" s="15"/>
      <c r="W48" s="15"/>
      <c r="X48" s="15"/>
      <c r="AA48" s="147" t="s">
        <v>182</v>
      </c>
      <c r="AB48" s="148"/>
      <c r="AC48" s="148"/>
      <c r="AD48" s="148"/>
      <c r="AE48" s="148"/>
      <c r="AF48" s="149"/>
    </row>
    <row r="49" spans="1:32" ht="21.2" customHeight="1" x14ac:dyDescent="0.3">
      <c r="A49" s="34" t="s">
        <v>236</v>
      </c>
      <c r="B49" s="39" t="s">
        <v>27</v>
      </c>
      <c r="C49" s="39">
        <v>1</v>
      </c>
      <c r="D49" s="39">
        <v>7</v>
      </c>
      <c r="E49" s="15">
        <v>4.5</v>
      </c>
      <c r="F49" s="35">
        <f t="shared" si="9"/>
        <v>54.6</v>
      </c>
      <c r="H49" s="116" t="s">
        <v>7</v>
      </c>
      <c r="I49" t="s">
        <v>102</v>
      </c>
      <c r="J49">
        <v>18</v>
      </c>
      <c r="K49" s="15">
        <v>0.57999999999999996</v>
      </c>
      <c r="L49" s="15">
        <f t="shared" si="3"/>
        <v>10.44</v>
      </c>
      <c r="Q49" s="15"/>
      <c r="R49" s="15"/>
      <c r="W49" s="15"/>
      <c r="X49" s="15"/>
      <c r="AA49" s="150"/>
      <c r="AB49" s="151"/>
      <c r="AC49" s="151"/>
      <c r="AD49" s="151"/>
      <c r="AE49" s="151"/>
      <c r="AF49" s="152"/>
    </row>
    <row r="50" spans="1:32" ht="16.25" x14ac:dyDescent="0.3">
      <c r="A50" s="165" t="s">
        <v>82</v>
      </c>
      <c r="B50" s="165"/>
      <c r="C50" s="165"/>
      <c r="D50" s="165"/>
      <c r="E50" s="166"/>
      <c r="F50" s="35">
        <f t="shared" si="9"/>
        <v>15.6</v>
      </c>
      <c r="H50" s="116" t="s">
        <v>7</v>
      </c>
      <c r="I50" t="s">
        <v>103</v>
      </c>
      <c r="J50">
        <v>8</v>
      </c>
      <c r="K50" s="15">
        <v>1.5</v>
      </c>
      <c r="L50" s="15">
        <f t="shared" si="3"/>
        <v>12</v>
      </c>
      <c r="Q50" s="15"/>
      <c r="R50" s="15"/>
      <c r="W50" s="15"/>
      <c r="X50" s="15"/>
      <c r="AA50" s="129">
        <v>46013</v>
      </c>
      <c r="AB50" s="97" t="s">
        <v>183</v>
      </c>
      <c r="AC50" s="97">
        <v>24</v>
      </c>
      <c r="AD50" s="98">
        <v>0.8</v>
      </c>
      <c r="AE50" s="98">
        <f>AC50*AD50</f>
        <v>19.200000000000003</v>
      </c>
    </row>
    <row r="51" spans="1:32" ht="16.25" x14ac:dyDescent="0.3">
      <c r="A51" s="36" t="s">
        <v>7</v>
      </c>
      <c r="B51" s="90" t="s">
        <v>77</v>
      </c>
      <c r="C51" s="90"/>
      <c r="D51" s="90">
        <v>12</v>
      </c>
      <c r="E51" s="15">
        <v>0.6</v>
      </c>
      <c r="F51" s="15">
        <f t="shared" si="9"/>
        <v>31.5</v>
      </c>
      <c r="H51" s="116" t="s">
        <v>7</v>
      </c>
      <c r="I51" t="s">
        <v>105</v>
      </c>
      <c r="J51">
        <v>12</v>
      </c>
      <c r="K51" s="15">
        <v>1.4</v>
      </c>
      <c r="L51" s="15">
        <f t="shared" si="3"/>
        <v>16.799999999999997</v>
      </c>
      <c r="Q51" s="15"/>
      <c r="R51" s="15"/>
      <c r="W51" s="15"/>
      <c r="X51" s="15"/>
      <c r="AA51" s="130">
        <v>46013</v>
      </c>
      <c r="AB51" s="3" t="s">
        <v>184</v>
      </c>
      <c r="AC51" s="3">
        <v>22</v>
      </c>
      <c r="AD51" s="62">
        <v>1</v>
      </c>
      <c r="AE51" s="98">
        <f t="shared" ref="AE51:AE53" si="10">AC51*AD51</f>
        <v>22</v>
      </c>
    </row>
    <row r="52" spans="1:32" ht="16.25" x14ac:dyDescent="0.3">
      <c r="A52" s="34" t="s">
        <v>7</v>
      </c>
      <c r="B52" s="34" t="s">
        <v>78</v>
      </c>
      <c r="C52" s="34"/>
      <c r="D52" s="34">
        <v>15</v>
      </c>
      <c r="E52" s="15">
        <v>0.6</v>
      </c>
      <c r="F52" s="101"/>
      <c r="H52" s="116" t="s">
        <v>7</v>
      </c>
      <c r="I52" t="s">
        <v>106</v>
      </c>
      <c r="J52">
        <v>16</v>
      </c>
      <c r="K52" s="15">
        <v>0.6</v>
      </c>
      <c r="L52" s="15">
        <f t="shared" si="3"/>
        <v>9.6</v>
      </c>
      <c r="Q52" s="15"/>
      <c r="R52" s="15"/>
      <c r="W52" s="15"/>
      <c r="X52" s="15"/>
      <c r="AA52" s="131">
        <v>46013</v>
      </c>
      <c r="AB52" s="2" t="s">
        <v>185</v>
      </c>
      <c r="AC52" s="2">
        <v>22</v>
      </c>
      <c r="AD52" s="63">
        <v>0.8</v>
      </c>
      <c r="AE52" s="98">
        <f t="shared" si="10"/>
        <v>17.600000000000001</v>
      </c>
    </row>
    <row r="53" spans="1:32" ht="16.25" x14ac:dyDescent="0.3">
      <c r="A53" s="36" t="s">
        <v>7</v>
      </c>
      <c r="B53" s="36" t="s">
        <v>79</v>
      </c>
      <c r="C53" s="36"/>
      <c r="D53" s="36">
        <v>5</v>
      </c>
      <c r="E53" s="15">
        <v>0.6</v>
      </c>
      <c r="F53" s="15">
        <f>D51*E51</f>
        <v>7.1999999999999993</v>
      </c>
      <c r="H53" s="116" t="s">
        <v>7</v>
      </c>
      <c r="I53" t="s">
        <v>114</v>
      </c>
      <c r="J53">
        <v>7</v>
      </c>
      <c r="K53" s="15">
        <v>5.7</v>
      </c>
      <c r="L53" s="15">
        <f t="shared" si="3"/>
        <v>39.9</v>
      </c>
      <c r="Q53" s="15"/>
      <c r="R53" s="15"/>
      <c r="W53" s="15"/>
      <c r="X53" s="15"/>
      <c r="AA53" s="130">
        <v>46013</v>
      </c>
      <c r="AB53" s="3" t="s">
        <v>186</v>
      </c>
      <c r="AC53" s="3">
        <v>24</v>
      </c>
      <c r="AD53" s="62">
        <v>0.8</v>
      </c>
      <c r="AE53" s="98">
        <f t="shared" si="10"/>
        <v>19.200000000000003</v>
      </c>
    </row>
    <row r="54" spans="1:32" ht="16.25" x14ac:dyDescent="0.3">
      <c r="A54" s="34" t="s">
        <v>7</v>
      </c>
      <c r="B54" s="34" t="s">
        <v>80</v>
      </c>
      <c r="C54" s="34"/>
      <c r="D54" s="34">
        <v>11</v>
      </c>
      <c r="E54" s="15">
        <v>0.6</v>
      </c>
      <c r="F54" s="15">
        <f>D52*E52</f>
        <v>9</v>
      </c>
      <c r="H54" s="116" t="s">
        <v>7</v>
      </c>
      <c r="I54" t="s">
        <v>115</v>
      </c>
      <c r="J54">
        <v>26</v>
      </c>
      <c r="K54" s="15">
        <v>3.5625</v>
      </c>
      <c r="L54" s="15">
        <f t="shared" si="3"/>
        <v>92.625</v>
      </c>
      <c r="Q54" s="15"/>
      <c r="R54" s="15"/>
      <c r="W54" s="15"/>
      <c r="X54" s="15"/>
      <c r="AA54" s="132">
        <v>46013</v>
      </c>
      <c r="AB54" s="64" t="s">
        <v>187</v>
      </c>
      <c r="AC54" s="64">
        <v>23</v>
      </c>
      <c r="AD54" s="65">
        <v>0.7</v>
      </c>
      <c r="AE54" s="65">
        <f>AC54*AD54</f>
        <v>16.099999999999998</v>
      </c>
    </row>
    <row r="55" spans="1:32" ht="16.25" x14ac:dyDescent="0.3">
      <c r="A55" s="36" t="s">
        <v>7</v>
      </c>
      <c r="B55" s="36" t="s">
        <v>81</v>
      </c>
      <c r="C55" s="36"/>
      <c r="D55" s="36">
        <v>16</v>
      </c>
      <c r="E55" s="15">
        <v>0.6</v>
      </c>
      <c r="F55" s="15">
        <f>D53*E53</f>
        <v>3</v>
      </c>
      <c r="H55" s="116" t="s">
        <v>7</v>
      </c>
      <c r="I55" t="s">
        <v>227</v>
      </c>
      <c r="J55">
        <v>9</v>
      </c>
      <c r="K55" s="15">
        <v>2.9159999999999999</v>
      </c>
      <c r="L55" s="15">
        <f t="shared" si="3"/>
        <v>26.244</v>
      </c>
      <c r="Q55" s="15"/>
      <c r="R55" s="15"/>
      <c r="W55" s="15"/>
      <c r="X55" s="15"/>
      <c r="AA55" s="133">
        <v>46013</v>
      </c>
      <c r="AB55" s="66" t="s">
        <v>188</v>
      </c>
      <c r="AC55" s="66">
        <v>14</v>
      </c>
      <c r="AD55" s="67">
        <v>0.7</v>
      </c>
      <c r="AE55" s="65">
        <f>AC55*AD55</f>
        <v>9.7999999999999989</v>
      </c>
    </row>
    <row r="56" spans="1:32" x14ac:dyDescent="0.25">
      <c r="A56" s="50"/>
      <c r="B56" s="50"/>
      <c r="C56" s="50"/>
      <c r="D56" s="50"/>
      <c r="E56" s="15"/>
      <c r="F56" s="15">
        <f>D54*E54</f>
        <v>6.6</v>
      </c>
      <c r="H56" s="116" t="s">
        <v>7</v>
      </c>
      <c r="I56" t="s">
        <v>228</v>
      </c>
      <c r="J56">
        <v>3</v>
      </c>
      <c r="K56" s="15">
        <v>2</v>
      </c>
      <c r="L56" s="15">
        <f t="shared" si="3"/>
        <v>6</v>
      </c>
      <c r="Q56" s="15"/>
      <c r="R56" s="15"/>
      <c r="W56" s="15"/>
      <c r="X56" s="15"/>
      <c r="AD56" s="15"/>
      <c r="AE56" s="15"/>
    </row>
    <row r="57" spans="1:32" ht="18.350000000000001" x14ac:dyDescent="0.3">
      <c r="A57" s="91"/>
      <c r="B57" s="91"/>
      <c r="C57" s="91"/>
      <c r="D57" s="91"/>
      <c r="E57" s="92"/>
      <c r="F57" s="15">
        <f>D55*E55</f>
        <v>9.6</v>
      </c>
      <c r="H57" s="116" t="s">
        <v>7</v>
      </c>
      <c r="I57" t="s">
        <v>242</v>
      </c>
      <c r="J57">
        <v>1</v>
      </c>
      <c r="K57" s="15">
        <v>0.93500000000000005</v>
      </c>
      <c r="L57" s="15">
        <f t="shared" si="3"/>
        <v>0.93500000000000005</v>
      </c>
      <c r="Q57" s="15"/>
      <c r="R57" s="15"/>
      <c r="W57" s="15"/>
      <c r="X57" s="15"/>
      <c r="AD57" s="15"/>
      <c r="AE57" s="15"/>
    </row>
    <row r="58" spans="1:32" ht="21.2" customHeight="1" x14ac:dyDescent="0.3">
      <c r="A58" s="91"/>
      <c r="B58" s="91"/>
      <c r="C58" s="91"/>
      <c r="D58" s="91"/>
      <c r="E58" s="140"/>
      <c r="F58" s="100">
        <f>SUM(F5:F57)</f>
        <v>1844.05</v>
      </c>
      <c r="H58" s="116" t="s">
        <v>7</v>
      </c>
      <c r="I58" t="s">
        <v>229</v>
      </c>
      <c r="J58">
        <v>1</v>
      </c>
      <c r="K58" s="15">
        <v>3.5</v>
      </c>
      <c r="L58" s="15">
        <f t="shared" si="3"/>
        <v>3.5</v>
      </c>
      <c r="Q58" s="15"/>
      <c r="R58" s="15"/>
      <c r="W58" s="15"/>
      <c r="X58" s="15"/>
      <c r="AA58" s="147" t="s">
        <v>189</v>
      </c>
      <c r="AB58" s="148"/>
      <c r="AC58" s="148"/>
      <c r="AD58" s="148"/>
      <c r="AE58" s="149"/>
    </row>
    <row r="59" spans="1:32" ht="21.2" customHeight="1" x14ac:dyDescent="0.25">
      <c r="E59" s="15"/>
      <c r="F59" s="15"/>
      <c r="H59" s="116" t="s">
        <v>7</v>
      </c>
      <c r="I59" t="s">
        <v>40</v>
      </c>
      <c r="J59">
        <v>24</v>
      </c>
      <c r="K59" s="15">
        <v>3</v>
      </c>
      <c r="L59" s="15">
        <f t="shared" si="3"/>
        <v>72</v>
      </c>
      <c r="Q59" s="15"/>
      <c r="R59" s="15"/>
      <c r="W59" s="15"/>
      <c r="X59" s="15"/>
      <c r="AA59" s="150"/>
      <c r="AB59" s="151"/>
      <c r="AC59" s="151"/>
      <c r="AD59" s="151"/>
      <c r="AE59" s="152"/>
    </row>
    <row r="60" spans="1:32" x14ac:dyDescent="0.25">
      <c r="E60" s="15"/>
      <c r="F60" s="15"/>
      <c r="H60" s="117">
        <v>46018</v>
      </c>
      <c r="I60" t="s">
        <v>237</v>
      </c>
      <c r="J60">
        <v>34</v>
      </c>
      <c r="K60" s="15">
        <v>1.3</v>
      </c>
      <c r="L60" s="15">
        <f t="shared" si="3"/>
        <v>44.2</v>
      </c>
      <c r="Q60" s="15"/>
      <c r="R60" s="15"/>
      <c r="W60" s="15"/>
      <c r="X60" s="15"/>
      <c r="AA60" s="129">
        <v>46013</v>
      </c>
      <c r="AB60" s="97" t="s">
        <v>190</v>
      </c>
      <c r="AC60" s="97">
        <v>18</v>
      </c>
      <c r="AD60" s="98">
        <v>0.6</v>
      </c>
      <c r="AE60" s="98">
        <f>AC60*AD60</f>
        <v>10.799999999999999</v>
      </c>
    </row>
    <row r="61" spans="1:32" x14ac:dyDescent="0.25">
      <c r="E61" s="15"/>
      <c r="F61" s="15"/>
      <c r="H61" s="116"/>
      <c r="K61" s="15"/>
      <c r="L61" s="15">
        <f t="shared" si="3"/>
        <v>0</v>
      </c>
      <c r="Q61" s="15"/>
      <c r="R61" s="15"/>
      <c r="W61" s="15"/>
      <c r="X61" s="15"/>
      <c r="AA61" s="130">
        <v>46013</v>
      </c>
      <c r="AB61" s="3" t="s">
        <v>191</v>
      </c>
      <c r="AC61" s="3">
        <v>20</v>
      </c>
      <c r="AD61" s="62">
        <v>0.6</v>
      </c>
      <c r="AE61" s="63">
        <f t="shared" ref="AE61:AE62" si="11">AC61*AD61</f>
        <v>12</v>
      </c>
    </row>
    <row r="62" spans="1:32" ht="21.2" x14ac:dyDescent="0.35">
      <c r="E62" s="15"/>
      <c r="F62" s="15"/>
      <c r="H62" s="106"/>
      <c r="I62" s="106"/>
      <c r="J62" s="106"/>
      <c r="K62" s="107"/>
      <c r="L62" s="15">
        <f t="shared" si="3"/>
        <v>0</v>
      </c>
      <c r="Q62" s="15"/>
      <c r="R62" s="15"/>
      <c r="W62" s="15"/>
      <c r="X62" s="15"/>
      <c r="AA62" s="134">
        <v>46013</v>
      </c>
      <c r="AB62" s="68" t="s">
        <v>192</v>
      </c>
      <c r="AC62" s="68">
        <v>8</v>
      </c>
      <c r="AD62" s="69">
        <v>0.6</v>
      </c>
      <c r="AE62" s="69">
        <f t="shared" si="11"/>
        <v>4.8</v>
      </c>
    </row>
    <row r="63" spans="1:32" x14ac:dyDescent="0.25">
      <c r="E63" s="15"/>
      <c r="F63" s="15"/>
      <c r="K63" s="15"/>
      <c r="L63" s="15">
        <f t="shared" si="3"/>
        <v>0</v>
      </c>
      <c r="Q63" s="15"/>
      <c r="R63" s="15"/>
      <c r="W63" s="15"/>
      <c r="X63" s="15"/>
      <c r="AA63" s="125">
        <v>46013</v>
      </c>
      <c r="AB63" s="55" t="s">
        <v>188</v>
      </c>
      <c r="AC63" s="55">
        <v>14</v>
      </c>
      <c r="AD63" s="70">
        <v>0.7</v>
      </c>
      <c r="AE63" s="70">
        <f>AC63*AD63</f>
        <v>9.7999999999999989</v>
      </c>
    </row>
    <row r="64" spans="1:32" x14ac:dyDescent="0.25">
      <c r="E64" s="15"/>
      <c r="F64" s="15"/>
      <c r="K64" s="15"/>
      <c r="L64" s="15">
        <f t="shared" si="3"/>
        <v>0</v>
      </c>
      <c r="Q64" s="15"/>
      <c r="R64" s="15"/>
      <c r="W64" s="15"/>
      <c r="X64" s="15"/>
      <c r="AA64" s="135">
        <v>46013</v>
      </c>
      <c r="AB64" s="71" t="s">
        <v>193</v>
      </c>
      <c r="AC64" s="71">
        <v>7</v>
      </c>
      <c r="AD64" s="72">
        <v>0.7</v>
      </c>
      <c r="AE64" s="70">
        <f t="shared" ref="AE64:AE66" si="12">AC64*AD64</f>
        <v>4.8999999999999995</v>
      </c>
    </row>
    <row r="65" spans="3:31" x14ac:dyDescent="0.25">
      <c r="E65" s="15"/>
      <c r="F65" s="15"/>
      <c r="K65" s="15"/>
      <c r="L65" s="15">
        <f>SUM(L5:L64)</f>
        <v>1331.883</v>
      </c>
      <c r="Q65" s="15"/>
      <c r="R65" s="15"/>
      <c r="W65" s="15"/>
      <c r="X65" s="15"/>
      <c r="AA65" s="125">
        <v>46013</v>
      </c>
      <c r="AB65" s="55" t="s">
        <v>194</v>
      </c>
      <c r="AC65" s="55">
        <v>8</v>
      </c>
      <c r="AD65" s="70">
        <v>0.7</v>
      </c>
      <c r="AE65" s="70">
        <f t="shared" si="12"/>
        <v>5.6</v>
      </c>
    </row>
    <row r="66" spans="3:31" x14ac:dyDescent="0.25">
      <c r="E66" s="15"/>
      <c r="F66" s="15"/>
      <c r="K66" s="15"/>
      <c r="L66" s="15"/>
      <c r="Q66" s="15"/>
      <c r="R66" s="15"/>
      <c r="W66" s="15"/>
      <c r="X66" s="15"/>
      <c r="AA66" s="135">
        <v>46013</v>
      </c>
      <c r="AB66" s="71" t="s">
        <v>195</v>
      </c>
      <c r="AC66" s="71">
        <v>11</v>
      </c>
      <c r="AD66" s="72">
        <v>0.7</v>
      </c>
      <c r="AE66" s="70">
        <f t="shared" si="12"/>
        <v>7.6999999999999993</v>
      </c>
    </row>
    <row r="67" spans="3:31" ht="26.15" x14ac:dyDescent="0.45">
      <c r="C67" s="114"/>
      <c r="D67" s="113" t="s">
        <v>244</v>
      </c>
      <c r="E67" s="112"/>
      <c r="F67" s="115">
        <v>10846.39</v>
      </c>
      <c r="K67" s="15"/>
      <c r="L67" s="15"/>
      <c r="Q67" s="15"/>
      <c r="R67" s="15"/>
      <c r="W67" s="15"/>
      <c r="X67" s="15"/>
      <c r="AA67" s="136"/>
      <c r="AB67" s="55"/>
      <c r="AC67" s="55"/>
      <c r="AD67" s="70"/>
      <c r="AE67" s="70"/>
    </row>
    <row r="68" spans="3:31" x14ac:dyDescent="0.25">
      <c r="D68" s="99"/>
      <c r="E68" s="100"/>
      <c r="F68" s="100"/>
      <c r="K68" s="15"/>
      <c r="L68" s="15"/>
      <c r="Q68" s="15"/>
      <c r="R68" s="15"/>
      <c r="W68" s="15"/>
      <c r="X68" s="15"/>
      <c r="AA68" s="126"/>
      <c r="AD68" s="15"/>
      <c r="AE68" s="15"/>
    </row>
    <row r="69" spans="3:31" x14ac:dyDescent="0.25">
      <c r="E69" s="15"/>
      <c r="F69" s="15"/>
      <c r="K69" s="15"/>
      <c r="L69" s="15"/>
      <c r="Q69" s="15"/>
      <c r="R69" s="15"/>
      <c r="U69" s="56"/>
      <c r="V69" s="56"/>
      <c r="W69" s="57"/>
      <c r="X69" s="57"/>
      <c r="Y69" s="56"/>
      <c r="AA69" s="126"/>
      <c r="AD69" s="15"/>
      <c r="AE69" s="15"/>
    </row>
    <row r="70" spans="3:31" ht="21.2" customHeight="1" x14ac:dyDescent="0.25">
      <c r="E70" s="15"/>
      <c r="F70" s="15"/>
      <c r="K70" s="15"/>
      <c r="L70" s="15"/>
      <c r="Q70" s="15"/>
      <c r="R70" s="15"/>
      <c r="W70" s="15"/>
      <c r="X70" s="15"/>
      <c r="AA70" s="147" t="s">
        <v>196</v>
      </c>
      <c r="AB70" s="148"/>
      <c r="AC70" s="148"/>
      <c r="AD70" s="148"/>
      <c r="AE70" s="149"/>
    </row>
    <row r="71" spans="3:31" ht="21.2" customHeight="1" x14ac:dyDescent="0.25">
      <c r="E71" s="15"/>
      <c r="F71" s="15"/>
      <c r="K71" s="15"/>
      <c r="L71" s="15"/>
      <c r="Q71" s="15"/>
      <c r="R71" s="15"/>
      <c r="W71" s="15"/>
      <c r="X71" s="15"/>
      <c r="AA71" s="150"/>
      <c r="AB71" s="151"/>
      <c r="AC71" s="151"/>
      <c r="AD71" s="151"/>
      <c r="AE71" s="152"/>
    </row>
    <row r="72" spans="3:31" x14ac:dyDescent="0.25">
      <c r="E72" s="15"/>
      <c r="F72" s="15"/>
      <c r="K72" s="15"/>
      <c r="L72" s="15"/>
      <c r="Q72" s="15"/>
      <c r="R72" s="15"/>
      <c r="W72" s="15"/>
      <c r="X72" s="15"/>
      <c r="AA72" s="128">
        <v>46013</v>
      </c>
      <c r="AB72" s="95" t="s">
        <v>197</v>
      </c>
      <c r="AC72" s="95">
        <v>33</v>
      </c>
      <c r="AD72" s="96">
        <v>0.3</v>
      </c>
      <c r="AE72" s="96">
        <f>AC72*AD72</f>
        <v>9.9</v>
      </c>
    </row>
    <row r="73" spans="3:31" x14ac:dyDescent="0.25">
      <c r="E73" s="15"/>
      <c r="F73" s="15"/>
      <c r="K73" s="15"/>
      <c r="L73" s="15"/>
      <c r="Q73" s="15"/>
      <c r="R73" s="15"/>
      <c r="W73" s="15"/>
      <c r="X73" s="15"/>
      <c r="AA73" s="131">
        <v>46013</v>
      </c>
      <c r="AB73" s="2" t="s">
        <v>198</v>
      </c>
      <c r="AC73" s="2">
        <v>67</v>
      </c>
      <c r="AD73" s="63">
        <v>0.3</v>
      </c>
      <c r="AE73" s="62">
        <f t="shared" ref="AE73:AE78" si="13">AC73*AD73</f>
        <v>20.099999999999998</v>
      </c>
    </row>
    <row r="74" spans="3:31" x14ac:dyDescent="0.25">
      <c r="E74" s="15"/>
      <c r="F74" s="15"/>
      <c r="K74" s="15"/>
      <c r="L74" s="15"/>
      <c r="Q74" s="15"/>
      <c r="R74" s="15"/>
      <c r="W74" s="15"/>
      <c r="X74" s="15"/>
      <c r="AA74" s="130">
        <v>46013</v>
      </c>
      <c r="AB74" s="3" t="s">
        <v>199</v>
      </c>
      <c r="AC74" s="3">
        <v>97</v>
      </c>
      <c r="AD74" s="62">
        <v>0.3</v>
      </c>
      <c r="AE74" s="62">
        <f t="shared" si="13"/>
        <v>29.099999999999998</v>
      </c>
    </row>
    <row r="75" spans="3:31" x14ac:dyDescent="0.25">
      <c r="E75" s="15"/>
      <c r="F75" s="15"/>
      <c r="K75" s="15"/>
      <c r="L75" s="15"/>
      <c r="Q75" s="15"/>
      <c r="R75" s="15"/>
      <c r="W75" s="15"/>
      <c r="X75" s="15"/>
      <c r="AA75" s="131">
        <v>46013</v>
      </c>
      <c r="AB75" s="2" t="s">
        <v>200</v>
      </c>
      <c r="AC75" s="2">
        <v>24</v>
      </c>
      <c r="AD75" s="63">
        <v>0.3</v>
      </c>
      <c r="AE75" s="62">
        <f t="shared" si="13"/>
        <v>7.1999999999999993</v>
      </c>
    </row>
    <row r="76" spans="3:31" x14ac:dyDescent="0.25">
      <c r="E76" s="15"/>
      <c r="F76" s="15"/>
      <c r="K76" s="15"/>
      <c r="L76" s="15"/>
      <c r="Q76" s="15"/>
      <c r="R76" s="15"/>
      <c r="W76" s="15"/>
      <c r="X76" s="15"/>
      <c r="AA76" s="130">
        <v>46013</v>
      </c>
      <c r="AB76" s="3" t="s">
        <v>201</v>
      </c>
      <c r="AC76" s="3">
        <v>17</v>
      </c>
      <c r="AD76" s="62">
        <v>0.3</v>
      </c>
      <c r="AE76" s="62">
        <f t="shared" si="13"/>
        <v>5.0999999999999996</v>
      </c>
    </row>
    <row r="77" spans="3:31" x14ac:dyDescent="0.25">
      <c r="E77" s="15"/>
      <c r="F77" s="15"/>
      <c r="K77" s="15"/>
      <c r="L77" s="15"/>
      <c r="Q77" s="15"/>
      <c r="R77" s="15"/>
      <c r="W77" s="15"/>
      <c r="X77" s="15"/>
      <c r="AA77" s="133">
        <v>46013</v>
      </c>
      <c r="AB77" s="66" t="s">
        <v>202</v>
      </c>
      <c r="AC77" s="66">
        <v>1</v>
      </c>
      <c r="AD77" s="67">
        <v>0.2</v>
      </c>
      <c r="AE77" s="67">
        <f>AC77*AD77</f>
        <v>0.2</v>
      </c>
    </row>
    <row r="78" spans="3:31" x14ac:dyDescent="0.25">
      <c r="E78" s="15"/>
      <c r="F78" s="15"/>
      <c r="K78" s="15"/>
      <c r="L78" s="15"/>
      <c r="Q78" s="15"/>
      <c r="R78" s="15"/>
      <c r="W78" s="15"/>
      <c r="X78" s="15"/>
      <c r="AA78" s="132">
        <v>46013</v>
      </c>
      <c r="AB78" s="64" t="s">
        <v>203</v>
      </c>
      <c r="AC78" s="64">
        <v>1</v>
      </c>
      <c r="AD78" s="65">
        <v>0.7</v>
      </c>
      <c r="AE78" s="67">
        <f t="shared" si="13"/>
        <v>0.7</v>
      </c>
    </row>
    <row r="79" spans="3:31" x14ac:dyDescent="0.25">
      <c r="E79" s="15"/>
      <c r="F79" s="15"/>
      <c r="K79" s="15"/>
      <c r="L79" s="15"/>
      <c r="Q79" s="15"/>
      <c r="R79" s="15"/>
      <c r="W79" s="15"/>
      <c r="X79" s="15"/>
      <c r="AA79" s="126"/>
      <c r="AD79" s="15"/>
      <c r="AE79" s="15"/>
    </row>
    <row r="80" spans="3:31" x14ac:dyDescent="0.25">
      <c r="E80" s="15"/>
      <c r="F80" s="15"/>
      <c r="K80" s="15"/>
      <c r="L80" s="15"/>
      <c r="Q80" s="15"/>
      <c r="R80" s="15"/>
      <c r="W80" s="15"/>
      <c r="X80" s="15"/>
      <c r="AA80" s="126"/>
      <c r="AD80" s="15"/>
      <c r="AE80" s="15"/>
    </row>
    <row r="81" spans="5:31" ht="21.2" customHeight="1" x14ac:dyDescent="0.25">
      <c r="E81" s="15"/>
      <c r="F81" s="15"/>
      <c r="K81" s="15"/>
      <c r="L81" s="15"/>
      <c r="Q81" s="15"/>
      <c r="R81" s="15"/>
      <c r="W81" s="15"/>
      <c r="X81" s="15"/>
      <c r="Z81" s="147" t="s">
        <v>204</v>
      </c>
      <c r="AA81" s="148"/>
      <c r="AB81" s="148"/>
      <c r="AC81" s="148"/>
      <c r="AD81" s="148"/>
      <c r="AE81" s="149"/>
    </row>
    <row r="82" spans="5:31" ht="21.2" customHeight="1" x14ac:dyDescent="0.25">
      <c r="E82" s="15"/>
      <c r="F82" s="15"/>
      <c r="K82" s="15"/>
      <c r="L82" s="15"/>
      <c r="Q82" s="15"/>
      <c r="R82" s="15"/>
      <c r="W82" s="15"/>
      <c r="X82" s="15"/>
      <c r="Z82" s="150"/>
      <c r="AA82" s="151"/>
      <c r="AB82" s="151"/>
      <c r="AC82" s="151"/>
      <c r="AD82" s="151"/>
      <c r="AE82" s="152"/>
    </row>
    <row r="83" spans="5:31" x14ac:dyDescent="0.25">
      <c r="E83" s="15"/>
      <c r="F83" s="15"/>
      <c r="K83" s="15"/>
      <c r="L83" s="15"/>
      <c r="Q83" s="15"/>
      <c r="R83" s="15"/>
      <c r="W83" s="15"/>
      <c r="X83" s="15"/>
      <c r="AA83" s="129">
        <v>46013</v>
      </c>
      <c r="AB83" s="97" t="s">
        <v>205</v>
      </c>
      <c r="AC83" s="97">
        <v>42</v>
      </c>
      <c r="AD83" s="98">
        <v>0.2</v>
      </c>
      <c r="AE83" s="98">
        <f>AC83*AD83</f>
        <v>8.4</v>
      </c>
    </row>
    <row r="84" spans="5:31" x14ac:dyDescent="0.25">
      <c r="E84" s="15"/>
      <c r="F84" s="15"/>
      <c r="K84" s="15"/>
      <c r="L84" s="15"/>
      <c r="Q84" s="15"/>
      <c r="R84" s="15"/>
      <c r="W84" s="15"/>
      <c r="X84" s="15"/>
      <c r="AA84" s="130">
        <v>46013</v>
      </c>
      <c r="AB84" s="3" t="s">
        <v>206</v>
      </c>
      <c r="AC84" s="3">
        <v>46</v>
      </c>
      <c r="AD84" s="62">
        <v>0.2</v>
      </c>
      <c r="AE84" s="63">
        <f t="shared" ref="AE84:AE91" si="14">AC84*AD84</f>
        <v>9.2000000000000011</v>
      </c>
    </row>
    <row r="85" spans="5:31" x14ac:dyDescent="0.25">
      <c r="E85" s="15"/>
      <c r="F85" s="15"/>
      <c r="K85" s="15"/>
      <c r="L85" s="15"/>
      <c r="Q85" s="15"/>
      <c r="R85" s="15"/>
      <c r="W85" s="15"/>
      <c r="X85" s="15"/>
      <c r="AA85" s="131">
        <v>46013</v>
      </c>
      <c r="AB85" s="2" t="s">
        <v>207</v>
      </c>
      <c r="AC85" s="2">
        <v>54</v>
      </c>
      <c r="AD85" s="63">
        <v>0.2</v>
      </c>
      <c r="AE85" s="63">
        <f t="shared" si="14"/>
        <v>10.8</v>
      </c>
    </row>
    <row r="86" spans="5:31" x14ac:dyDescent="0.25">
      <c r="E86" s="15"/>
      <c r="F86" s="15"/>
      <c r="K86" s="15"/>
      <c r="L86" s="15"/>
      <c r="Q86" s="15"/>
      <c r="R86" s="15"/>
      <c r="W86" s="15"/>
      <c r="X86" s="15"/>
      <c r="AA86" s="130">
        <v>46013</v>
      </c>
      <c r="AB86" s="3" t="s">
        <v>208</v>
      </c>
      <c r="AC86" s="3">
        <v>19</v>
      </c>
      <c r="AD86" s="62">
        <v>0.2</v>
      </c>
      <c r="AE86" s="63">
        <f t="shared" si="14"/>
        <v>3.8000000000000003</v>
      </c>
    </row>
    <row r="87" spans="5:31" x14ac:dyDescent="0.25">
      <c r="E87" s="15"/>
      <c r="F87" s="15"/>
      <c r="K87" s="15"/>
      <c r="L87" s="15"/>
      <c r="Q87" s="15"/>
      <c r="R87" s="15"/>
      <c r="W87" s="15"/>
      <c r="X87" s="15"/>
      <c r="AA87" s="131">
        <v>46013</v>
      </c>
      <c r="AB87" s="2" t="s">
        <v>209</v>
      </c>
      <c r="AC87" s="2">
        <v>23</v>
      </c>
      <c r="AD87" s="63">
        <v>0.6</v>
      </c>
      <c r="AE87" s="63">
        <f t="shared" si="14"/>
        <v>13.799999999999999</v>
      </c>
    </row>
    <row r="88" spans="5:31" x14ac:dyDescent="0.25">
      <c r="E88" s="15"/>
      <c r="F88" s="15"/>
      <c r="K88" s="15"/>
      <c r="L88" s="15"/>
      <c r="Q88" s="15"/>
      <c r="R88" s="15"/>
      <c r="W88" s="15"/>
      <c r="X88" s="15"/>
      <c r="AA88" s="127">
        <v>46015</v>
      </c>
      <c r="AB88" t="s">
        <v>210</v>
      </c>
      <c r="AC88">
        <v>24</v>
      </c>
      <c r="AD88" s="15">
        <v>0.6</v>
      </c>
      <c r="AE88" s="63">
        <f t="shared" si="14"/>
        <v>14.399999999999999</v>
      </c>
    </row>
    <row r="89" spans="5:31" x14ac:dyDescent="0.25">
      <c r="E89" s="15"/>
      <c r="F89" s="15"/>
      <c r="K89" s="15"/>
      <c r="L89" s="15"/>
      <c r="Q89" s="15"/>
      <c r="R89" s="15"/>
      <c r="W89" s="15"/>
      <c r="X89" s="15"/>
      <c r="AA89" s="127">
        <v>46015</v>
      </c>
      <c r="AB89" s="53" t="s">
        <v>211</v>
      </c>
      <c r="AC89" s="53">
        <v>21</v>
      </c>
      <c r="AD89" s="15">
        <v>0.6</v>
      </c>
      <c r="AE89" s="63">
        <f t="shared" si="14"/>
        <v>12.6</v>
      </c>
    </row>
    <row r="90" spans="5:31" x14ac:dyDescent="0.25">
      <c r="E90" s="15"/>
      <c r="F90" s="15"/>
      <c r="K90" s="15"/>
      <c r="L90" s="15"/>
      <c r="Q90" s="15"/>
      <c r="R90" s="15"/>
      <c r="W90" s="15"/>
      <c r="X90" s="15"/>
      <c r="AA90" s="127">
        <v>46015</v>
      </c>
      <c r="AB90" t="s">
        <v>212</v>
      </c>
      <c r="AC90">
        <v>25</v>
      </c>
      <c r="AD90" s="15">
        <v>0.6</v>
      </c>
      <c r="AE90" s="63">
        <f t="shared" si="14"/>
        <v>15</v>
      </c>
    </row>
    <row r="91" spans="5:31" x14ac:dyDescent="0.25">
      <c r="E91" s="15"/>
      <c r="F91" s="15"/>
      <c r="K91" s="15"/>
      <c r="L91" s="15"/>
      <c r="Q91" s="15"/>
      <c r="R91" s="15"/>
      <c r="W91" s="15"/>
      <c r="X91" s="15"/>
      <c r="AA91" s="131">
        <v>46013</v>
      </c>
      <c r="AB91" s="2" t="s">
        <v>224</v>
      </c>
      <c r="AC91" s="2">
        <v>5</v>
      </c>
      <c r="AD91" s="63">
        <v>0.3</v>
      </c>
      <c r="AE91" s="63">
        <f t="shared" si="14"/>
        <v>1.5</v>
      </c>
    </row>
    <row r="92" spans="5:31" x14ac:dyDescent="0.25">
      <c r="E92" s="15"/>
      <c r="F92" s="15"/>
      <c r="K92" s="15"/>
      <c r="L92" s="15"/>
      <c r="Q92" s="15"/>
      <c r="R92" s="15"/>
      <c r="W92" s="15"/>
      <c r="X92" s="15"/>
      <c r="AA92" s="126"/>
      <c r="AD92" s="15"/>
      <c r="AE92" s="15"/>
    </row>
    <row r="93" spans="5:31" ht="21.2" customHeight="1" x14ac:dyDescent="0.25">
      <c r="E93" s="15"/>
      <c r="F93" s="15"/>
      <c r="K93" s="15"/>
      <c r="L93" s="15"/>
      <c r="Q93" s="15"/>
      <c r="R93" s="15"/>
      <c r="W93" s="15"/>
      <c r="X93" s="15"/>
      <c r="Z93" s="147" t="s">
        <v>213</v>
      </c>
      <c r="AA93" s="148"/>
      <c r="AB93" s="148"/>
      <c r="AC93" s="148"/>
      <c r="AD93" s="148"/>
      <c r="AE93" s="149"/>
    </row>
    <row r="94" spans="5:31" ht="21.2" customHeight="1" x14ac:dyDescent="0.25">
      <c r="E94" s="15"/>
      <c r="F94" s="15"/>
      <c r="K94" s="15"/>
      <c r="L94" s="15"/>
      <c r="Q94" s="15"/>
      <c r="R94" s="15"/>
      <c r="W94" s="15"/>
      <c r="X94" s="15"/>
      <c r="Z94" s="150"/>
      <c r="AA94" s="151"/>
      <c r="AB94" s="151"/>
      <c r="AC94" s="151"/>
      <c r="AD94" s="151"/>
      <c r="AE94" s="152"/>
    </row>
    <row r="95" spans="5:31" x14ac:dyDescent="0.25">
      <c r="E95" s="15"/>
      <c r="F95" s="15"/>
      <c r="K95" s="15"/>
      <c r="L95" s="15"/>
      <c r="Q95" s="15"/>
      <c r="R95" s="15"/>
      <c r="W95" s="15"/>
      <c r="X95" s="15"/>
      <c r="AA95" s="129">
        <v>46013</v>
      </c>
      <c r="AB95" s="97" t="s">
        <v>214</v>
      </c>
      <c r="AC95" s="97">
        <v>14</v>
      </c>
      <c r="AD95" s="98">
        <v>0.1</v>
      </c>
      <c r="AE95" s="98">
        <f>AC95*AD95</f>
        <v>1.4000000000000001</v>
      </c>
    </row>
    <row r="96" spans="5:31" x14ac:dyDescent="0.25">
      <c r="E96" s="15"/>
      <c r="F96" s="15"/>
      <c r="K96" s="15"/>
      <c r="L96" s="15"/>
      <c r="Q96" s="15"/>
      <c r="R96" s="15"/>
      <c r="W96" s="15"/>
      <c r="X96" s="15"/>
      <c r="AA96" s="130">
        <v>46013</v>
      </c>
      <c r="AB96" s="3" t="s">
        <v>215</v>
      </c>
      <c r="AC96" s="3">
        <v>86</v>
      </c>
      <c r="AD96" s="62">
        <v>0.1</v>
      </c>
      <c r="AE96" s="63">
        <f t="shared" ref="AE96:AE104" si="15">AC96*AD96</f>
        <v>8.6</v>
      </c>
    </row>
    <row r="97" spans="5:31" x14ac:dyDescent="0.25">
      <c r="E97" s="15"/>
      <c r="F97" s="15"/>
      <c r="K97" s="15"/>
      <c r="L97" s="15"/>
      <c r="Q97" s="15"/>
      <c r="R97" s="15"/>
      <c r="W97" s="15"/>
      <c r="X97" s="15"/>
      <c r="AA97" s="131">
        <v>46013</v>
      </c>
      <c r="AB97" s="2" t="s">
        <v>216</v>
      </c>
      <c r="AC97" s="2">
        <v>83</v>
      </c>
      <c r="AD97" s="63">
        <v>0.1</v>
      </c>
      <c r="AE97" s="63">
        <f t="shared" si="15"/>
        <v>8.3000000000000007</v>
      </c>
    </row>
    <row r="98" spans="5:31" x14ac:dyDescent="0.25">
      <c r="E98" s="15"/>
      <c r="F98" s="15"/>
      <c r="K98" s="15"/>
      <c r="L98" s="15"/>
      <c r="Q98" s="15"/>
      <c r="R98" s="15"/>
      <c r="W98" s="15"/>
      <c r="X98" s="15"/>
      <c r="AA98" s="130">
        <v>46013</v>
      </c>
      <c r="AB98" s="3" t="s">
        <v>217</v>
      </c>
      <c r="AC98" s="3">
        <v>43</v>
      </c>
      <c r="AD98" s="62">
        <v>0.1</v>
      </c>
      <c r="AE98" s="63">
        <f t="shared" si="15"/>
        <v>4.3</v>
      </c>
    </row>
    <row r="99" spans="5:31" x14ac:dyDescent="0.25">
      <c r="E99" s="15"/>
      <c r="F99" s="15"/>
      <c r="K99" s="15"/>
      <c r="L99" s="15"/>
      <c r="Q99" s="15"/>
      <c r="R99" s="15"/>
      <c r="W99" s="15"/>
      <c r="X99" s="15"/>
      <c r="AA99" s="131">
        <v>46013</v>
      </c>
      <c r="AB99" s="2" t="s">
        <v>218</v>
      </c>
      <c r="AC99" s="2">
        <v>94</v>
      </c>
      <c r="AD99" s="63">
        <v>0.1</v>
      </c>
      <c r="AE99" s="63">
        <f t="shared" si="15"/>
        <v>9.4</v>
      </c>
    </row>
    <row r="100" spans="5:31" x14ac:dyDescent="0.25">
      <c r="E100" s="15"/>
      <c r="F100" s="15"/>
      <c r="K100" s="15"/>
      <c r="L100" s="15"/>
      <c r="Q100" s="15"/>
      <c r="R100" s="15"/>
      <c r="W100" s="15"/>
      <c r="X100" s="15"/>
      <c r="AA100" s="130">
        <v>46013</v>
      </c>
      <c r="AB100" s="3" t="s">
        <v>219</v>
      </c>
      <c r="AC100" s="3">
        <v>1</v>
      </c>
      <c r="AD100" s="62">
        <v>0.7</v>
      </c>
      <c r="AE100" s="63">
        <f t="shared" si="15"/>
        <v>0.7</v>
      </c>
    </row>
    <row r="101" spans="5:31" x14ac:dyDescent="0.25">
      <c r="E101" s="15"/>
      <c r="F101" s="15"/>
      <c r="K101" s="15"/>
      <c r="L101" s="15"/>
      <c r="Q101" s="15"/>
      <c r="R101" s="15"/>
      <c r="W101" s="15"/>
      <c r="X101" s="15"/>
      <c r="AA101" s="131">
        <v>46013</v>
      </c>
      <c r="AB101" s="2" t="s">
        <v>220</v>
      </c>
      <c r="AC101" s="2">
        <v>92</v>
      </c>
      <c r="AD101" s="63">
        <v>0.3</v>
      </c>
      <c r="AE101" s="63">
        <f t="shared" si="15"/>
        <v>27.599999999999998</v>
      </c>
    </row>
    <row r="102" spans="5:31" x14ac:dyDescent="0.25">
      <c r="E102" s="15"/>
      <c r="F102" s="15"/>
      <c r="K102" s="15"/>
      <c r="L102" s="15"/>
      <c r="Q102" s="15"/>
      <c r="R102" s="15"/>
      <c r="W102" s="15"/>
      <c r="X102" s="15"/>
      <c r="AA102" s="130">
        <v>46013</v>
      </c>
      <c r="AB102" s="3" t="s">
        <v>221</v>
      </c>
      <c r="AC102" s="3">
        <v>91</v>
      </c>
      <c r="AD102" s="62">
        <v>0.3</v>
      </c>
      <c r="AE102" s="63">
        <f t="shared" si="15"/>
        <v>27.3</v>
      </c>
    </row>
    <row r="103" spans="5:31" x14ac:dyDescent="0.25">
      <c r="E103" s="15"/>
      <c r="F103" s="15"/>
      <c r="K103" s="15"/>
      <c r="L103" s="15"/>
      <c r="Q103" s="15"/>
      <c r="R103" s="15"/>
      <c r="W103" s="15"/>
      <c r="X103" s="15"/>
      <c r="AA103" s="131">
        <v>46013</v>
      </c>
      <c r="AB103" s="2" t="s">
        <v>222</v>
      </c>
      <c r="AC103" s="2">
        <v>8</v>
      </c>
      <c r="AD103" s="63">
        <v>0.3</v>
      </c>
      <c r="AE103" s="63">
        <f t="shared" si="15"/>
        <v>2.4</v>
      </c>
    </row>
    <row r="104" spans="5:31" x14ac:dyDescent="0.25">
      <c r="E104" s="15"/>
      <c r="F104" s="15"/>
      <c r="K104" s="15"/>
      <c r="L104" s="15"/>
      <c r="Q104" s="15"/>
      <c r="R104" s="15"/>
      <c r="W104" s="15"/>
      <c r="X104" s="15"/>
      <c r="AA104" s="130">
        <v>46013</v>
      </c>
      <c r="AB104" s="3" t="s">
        <v>223</v>
      </c>
      <c r="AC104" s="3">
        <v>53</v>
      </c>
      <c r="AD104" s="62">
        <v>0.3</v>
      </c>
      <c r="AE104" s="63">
        <f t="shared" si="15"/>
        <v>15.899999999999999</v>
      </c>
    </row>
    <row r="105" spans="5:31" x14ac:dyDescent="0.25">
      <c r="E105" s="15"/>
      <c r="F105" s="15"/>
      <c r="K105" s="15"/>
      <c r="L105" s="15"/>
      <c r="Q105" s="15"/>
      <c r="R105" s="15"/>
      <c r="W105" s="15"/>
      <c r="X105" s="15"/>
      <c r="AA105" s="126"/>
      <c r="AD105" s="15"/>
      <c r="AE105" s="15"/>
    </row>
    <row r="106" spans="5:31" ht="16.25" x14ac:dyDescent="0.3">
      <c r="E106" s="15"/>
      <c r="F106" s="15"/>
      <c r="K106" s="15"/>
      <c r="L106" s="15"/>
      <c r="Q106" s="15"/>
      <c r="R106" s="15"/>
      <c r="W106" s="15"/>
      <c r="X106" s="15"/>
      <c r="AA106" s="126"/>
      <c r="AB106" s="24"/>
      <c r="AC106" s="24"/>
      <c r="AD106" s="29"/>
      <c r="AE106" s="29"/>
    </row>
    <row r="107" spans="5:31" ht="16.25" x14ac:dyDescent="0.3">
      <c r="E107" s="15"/>
      <c r="F107" s="15"/>
      <c r="K107" s="15"/>
      <c r="L107" s="15"/>
      <c r="Q107" s="15"/>
      <c r="R107" s="15"/>
      <c r="W107" s="15"/>
      <c r="X107" s="15"/>
      <c r="AA107" s="126"/>
      <c r="AB107" s="108"/>
      <c r="AC107" s="108"/>
      <c r="AD107" s="109"/>
      <c r="AE107" s="109"/>
    </row>
    <row r="108" spans="5:31" ht="21.2" x14ac:dyDescent="0.35">
      <c r="E108" s="15"/>
      <c r="F108" s="15"/>
      <c r="K108" s="15"/>
      <c r="L108" s="15"/>
      <c r="Q108" s="15"/>
      <c r="R108" s="15"/>
      <c r="W108" s="15"/>
      <c r="X108" s="15"/>
      <c r="AA108" s="110"/>
      <c r="AB108" s="110"/>
      <c r="AC108" s="110"/>
      <c r="AD108" s="111"/>
      <c r="AE108" s="111"/>
    </row>
    <row r="109" spans="5:31" ht="21.2" x14ac:dyDescent="0.35">
      <c r="E109" s="15"/>
      <c r="F109" s="15"/>
      <c r="K109" s="15"/>
      <c r="L109" s="15"/>
      <c r="Q109" s="15"/>
      <c r="R109" s="15"/>
      <c r="W109" s="15"/>
      <c r="X109" s="15"/>
      <c r="AA109" s="110"/>
      <c r="AB109" s="110"/>
      <c r="AC109" s="110"/>
      <c r="AD109" s="111"/>
      <c r="AE109" s="111">
        <f>SUM(AE3:AE108)</f>
        <v>1497.5</v>
      </c>
    </row>
    <row r="110" spans="5:31" x14ac:dyDescent="0.25">
      <c r="E110" s="15"/>
      <c r="F110" s="15"/>
      <c r="K110" s="15"/>
      <c r="L110" s="15"/>
      <c r="Q110" s="15"/>
      <c r="R110" s="15"/>
      <c r="W110" s="15"/>
      <c r="X110" s="15"/>
      <c r="AD110" s="15"/>
      <c r="AE110" s="15"/>
    </row>
    <row r="111" spans="5:31" x14ac:dyDescent="0.25">
      <c r="E111" s="15"/>
      <c r="F111" s="15"/>
      <c r="K111" s="15"/>
      <c r="L111" s="15"/>
      <c r="Q111" s="15"/>
      <c r="R111" s="15"/>
      <c r="W111" s="15"/>
      <c r="X111" s="15"/>
      <c r="AD111" s="15"/>
      <c r="AE111" s="15"/>
    </row>
    <row r="112" spans="5:31" x14ac:dyDescent="0.25">
      <c r="E112" s="15"/>
      <c r="F112" s="15"/>
      <c r="K112" s="15"/>
      <c r="L112" s="15"/>
      <c r="Q112" s="15"/>
      <c r="R112" s="15"/>
      <c r="W112" s="15"/>
      <c r="X112" s="15"/>
      <c r="AD112" s="15"/>
      <c r="AE112" s="15"/>
    </row>
    <row r="113" spans="5:31" x14ac:dyDescent="0.25">
      <c r="E113" s="15"/>
      <c r="F113" s="15"/>
      <c r="K113" s="15"/>
      <c r="L113" s="15"/>
      <c r="Q113" s="15"/>
      <c r="R113" s="15"/>
      <c r="W113" s="15"/>
      <c r="X113" s="15"/>
      <c r="AD113" s="15"/>
      <c r="AE113" s="15"/>
    </row>
    <row r="114" spans="5:31" x14ac:dyDescent="0.25">
      <c r="E114" s="15"/>
      <c r="F114" s="15"/>
      <c r="K114" s="15"/>
      <c r="L114" s="15"/>
      <c r="Q114" s="15"/>
      <c r="R114" s="15"/>
      <c r="W114" s="15"/>
      <c r="X114" s="15"/>
      <c r="AD114" s="15"/>
      <c r="AE114" s="15"/>
    </row>
    <row r="115" spans="5:31" x14ac:dyDescent="0.25">
      <c r="E115" s="15"/>
      <c r="F115" s="15"/>
      <c r="K115" s="15"/>
      <c r="L115" s="15"/>
      <c r="Q115" s="15"/>
      <c r="R115" s="15"/>
      <c r="W115" s="15"/>
      <c r="X115" s="15"/>
      <c r="AD115" s="15"/>
      <c r="AE115" s="15"/>
    </row>
    <row r="116" spans="5:31" x14ac:dyDescent="0.25">
      <c r="E116" s="15"/>
      <c r="F116" s="15"/>
      <c r="K116" s="15"/>
      <c r="L116" s="15"/>
      <c r="Q116" s="15"/>
      <c r="R116" s="15"/>
      <c r="W116" s="15"/>
      <c r="X116" s="15"/>
      <c r="AD116" s="15"/>
      <c r="AE116" s="15"/>
    </row>
    <row r="117" spans="5:31" x14ac:dyDescent="0.25">
      <c r="E117" s="15"/>
      <c r="F117" s="15"/>
      <c r="K117" s="15"/>
      <c r="L117" s="15"/>
      <c r="Q117" s="15"/>
      <c r="R117" s="15"/>
      <c r="W117" s="15"/>
      <c r="X117" s="15"/>
      <c r="AD117" s="15"/>
      <c r="AE117" s="15"/>
    </row>
    <row r="118" spans="5:31" x14ac:dyDescent="0.25">
      <c r="E118" s="15"/>
      <c r="F118" s="15"/>
      <c r="K118" s="15"/>
      <c r="L118" s="15"/>
      <c r="Q118" s="15"/>
      <c r="R118" s="15"/>
      <c r="W118" s="15"/>
      <c r="X118" s="15"/>
      <c r="AD118" s="15"/>
      <c r="AE118" s="15"/>
    </row>
    <row r="119" spans="5:31" x14ac:dyDescent="0.25">
      <c r="E119" s="15"/>
      <c r="F119" s="15"/>
      <c r="K119" s="15"/>
      <c r="L119" s="15"/>
      <c r="Q119" s="15"/>
      <c r="R119" s="15"/>
      <c r="W119" s="15"/>
      <c r="X119" s="15"/>
      <c r="AD119" s="15"/>
      <c r="AE119" s="15"/>
    </row>
    <row r="120" spans="5:31" x14ac:dyDescent="0.25">
      <c r="E120" s="15"/>
      <c r="F120" s="15"/>
      <c r="K120" s="15"/>
      <c r="L120" s="15"/>
      <c r="Q120" s="15"/>
      <c r="R120" s="15"/>
      <c r="W120" s="15"/>
      <c r="X120" s="15"/>
      <c r="AD120" s="15"/>
      <c r="AE120" s="15"/>
    </row>
  </sheetData>
  <mergeCells count="24">
    <mergeCell ref="A1:G1"/>
    <mergeCell ref="S1:Y1"/>
    <mergeCell ref="AA1:AH1"/>
    <mergeCell ref="N2:Q2"/>
    <mergeCell ref="S3:X3"/>
    <mergeCell ref="T6:X6"/>
    <mergeCell ref="T10:X10"/>
    <mergeCell ref="A50:E50"/>
    <mergeCell ref="Z93:AE94"/>
    <mergeCell ref="Z81:AE82"/>
    <mergeCell ref="AA70:AE71"/>
    <mergeCell ref="AA58:AE59"/>
    <mergeCell ref="AA48:AF49"/>
    <mergeCell ref="A14:E14"/>
    <mergeCell ref="A20:E20"/>
    <mergeCell ref="A23:E23"/>
    <mergeCell ref="A25:E25"/>
    <mergeCell ref="A28:E28"/>
    <mergeCell ref="A32:E32"/>
    <mergeCell ref="AA38:AE39"/>
    <mergeCell ref="AA31:AE32"/>
    <mergeCell ref="AA26:AE26"/>
    <mergeCell ref="Z21:AE21"/>
    <mergeCell ref="AA23:AE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Guutale Qantal1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2025-12-23T20:46:31Z</dcterms:created>
  <dcterms:modified xsi:type="dcterms:W3CDTF">2025-12-27T06:15:09Z</dcterms:modified>
</cp:coreProperties>
</file>